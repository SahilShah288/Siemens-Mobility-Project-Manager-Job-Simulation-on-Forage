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ad71d91c7679213/Desktop/Financial Modelling/Siemens Forage/"/>
    </mc:Choice>
  </mc:AlternateContent>
  <xr:revisionPtr revIDLastSave="445" documentId="13_ncr:1_{5A9421BD-0DBF-9446-BC6C-9045E4A9F969}" xr6:coauthVersionLast="47" xr6:coauthVersionMax="47" xr10:uidLastSave="{B5301C12-80A3-4398-9FC6-26F0DB14ACC3}"/>
  <bookViews>
    <workbookView xWindow="-108" yWindow="-108" windowWidth="23256" windowHeight="12456" activeTab="1" xr2:uid="{77323CB0-5A8F-694A-97B0-F71A6F0F97D2}"/>
  </bookViews>
  <sheets>
    <sheet name="Tracker" sheetId="1" r:id="rId1"/>
    <sheet name="Dashboard" sheetId="2" r:id="rId2"/>
    <sheet name="Sheet2" sheetId="4" r:id="rId3"/>
    <sheet name="Sheet1" sheetId="3" r:id="rId4"/>
  </sheets>
  <definedNames>
    <definedName name="_xlchart.v1.0" hidden="1">Tracker!$F$11:$G$11</definedName>
    <definedName name="_xlchart.v1.1" hidden="1">Tracker!$F$12:$G$12</definedName>
    <definedName name="_xlchart.v1.2" hidden="1">Tracker!$F$13:$G$13</definedName>
    <definedName name="_xlchart.v1.3" hidden="1">Tracker!$F$11:$G$11</definedName>
    <definedName name="_xlchart.v1.4" hidden="1">Tracker!$F$12:$G$12</definedName>
    <definedName name="_xlchart.v1.5" hidden="1">Tracker!$F$13:$G$13</definedName>
    <definedName name="Slicer_Metric_Type">#N/A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 l="1"/>
  <c r="G6" i="1"/>
  <c r="F13" i="1"/>
  <c r="F12" i="1"/>
  <c r="G8" i="1"/>
  <c r="F8" i="1"/>
  <c r="F7" i="1"/>
  <c r="F6" i="1"/>
  <c r="G5" i="1"/>
  <c r="F5" i="1"/>
</calcChain>
</file>

<file path=xl/sharedStrings.xml><?xml version="1.0" encoding="utf-8"?>
<sst xmlns="http://schemas.openxmlformats.org/spreadsheetml/2006/main" count="117" uniqueCount="102">
  <si>
    <t>Segment</t>
  </si>
  <si>
    <t>% Completion</t>
  </si>
  <si>
    <t>Notes</t>
  </si>
  <si>
    <t>Central Urban Corridor</t>
  </si>
  <si>
    <t>Southeastern Quadrant</t>
  </si>
  <si>
    <t>Western Industrial Area</t>
  </si>
  <si>
    <t>Track Installation</t>
  </si>
  <si>
    <t>19 mi</t>
  </si>
  <si>
    <t>12 mi</t>
  </si>
  <si>
    <t>16 mi</t>
  </si>
  <si>
    <t>15 mi</t>
  </si>
  <si>
    <t>6 mi</t>
  </si>
  <si>
    <t>Eastern Section</t>
  </si>
  <si>
    <t>22 mi</t>
  </si>
  <si>
    <t>9 mi</t>
  </si>
  <si>
    <t>Electrification</t>
  </si>
  <si>
    <t>24 mi</t>
  </si>
  <si>
    <t>Planned Mi</t>
  </si>
  <si>
    <t>Completed Mi (Previous)</t>
  </si>
  <si>
    <t>Completed Mi (Current)</t>
  </si>
  <si>
    <t>Advanced machinery and night shifts increased pace. Monitor potential community noise concerns.</t>
  </si>
  <si>
    <t>Recent equipment upgrades significantly improved installation rate. Continued focus on maintaining momentum.</t>
  </si>
  <si>
    <t>No progress due to rocky terrain. Exploring alternative methods and potential rerouting. Strategic review needed.</t>
  </si>
  <si>
    <t>Accelerated progress with enhanced equipment deployment. Optimize resource allocation to sustain pace.</t>
  </si>
  <si>
    <t>Component</t>
  </si>
  <si>
    <t>Planned Units</t>
  </si>
  <si>
    <t>Completed Units (Previous)</t>
  </si>
  <si>
    <t>Completed Units (Current)</t>
  </si>
  <si>
    <t>Track Electrification</t>
  </si>
  <si>
    <t>Significant progress with 6 mi electrified recently. Continuing efforts to stay on track.</t>
  </si>
  <si>
    <t>Substations Construction</t>
  </si>
  <si>
    <t>No new substations completed. Delay in electrical components impacts schedule.</t>
  </si>
  <si>
    <t>Completed Mi % (Previous)</t>
  </si>
  <si>
    <t>Completed Mi % (This Week)</t>
  </si>
  <si>
    <t>Completed Units % (Previous)</t>
  </si>
  <si>
    <t>Completed Units % (This Week)</t>
  </si>
  <si>
    <t>Challenges</t>
  </si>
  <si>
    <t xml:space="preserve">Project Financials </t>
  </si>
  <si>
    <t>Phase 1</t>
  </si>
  <si>
    <t>Phase 2</t>
  </si>
  <si>
    <t>Phase 3</t>
  </si>
  <si>
    <t>Phase 4</t>
  </si>
  <si>
    <t>Q1</t>
  </si>
  <si>
    <t>Q2</t>
  </si>
  <si>
    <t>Q3</t>
  </si>
  <si>
    <t>Q4</t>
  </si>
  <si>
    <t>Community Feedback Highlights</t>
  </si>
  <si>
    <t>PHASE 1</t>
  </si>
  <si>
    <t xml:space="preserve">Progress - Completion % </t>
  </si>
  <si>
    <t>Status Update</t>
  </si>
  <si>
    <r>
      <t xml:space="preserve">- Eastern section in risk
            - </t>
    </r>
    <r>
      <rPr>
        <sz val="16"/>
        <color theme="5" tint="-0.249977111117893"/>
        <rFont val="Aptos Narrow"/>
        <family val="2"/>
        <scheme val="minor"/>
      </rPr>
      <t>D</t>
    </r>
    <r>
      <rPr>
        <sz val="16"/>
        <color theme="5" tint="-0.249977111117893"/>
        <rFont val="Aptos Narrow (Body)"/>
      </rPr>
      <t>elay</t>
    </r>
    <r>
      <rPr>
        <sz val="16"/>
        <color theme="1"/>
        <rFont val="Aptos Narrow"/>
        <family val="2"/>
        <scheme val="minor"/>
      </rPr>
      <t xml:space="preserve"> due to rocky terrain - 6mi behind schedule
                                </t>
    </r>
    <r>
      <rPr>
        <sz val="16"/>
        <rFont val="Aptos Narrow (Body)"/>
      </rPr>
      <t xml:space="preserve">ACTION: in progress evaluation of alternative method to
                               expedite progress. </t>
    </r>
    <r>
      <rPr>
        <sz val="16"/>
        <color theme="1"/>
        <rFont val="Aptos Narrow"/>
        <family val="2"/>
        <scheme val="minor"/>
      </rPr>
      <t xml:space="preserve">
            - </t>
    </r>
    <r>
      <rPr>
        <sz val="16"/>
        <color theme="5" tint="-0.249977111117893"/>
        <rFont val="Aptos Narrow (Body)"/>
      </rPr>
      <t>Overspent</t>
    </r>
    <r>
      <rPr>
        <sz val="16"/>
        <color theme="1"/>
        <rFont val="Aptos Narrow (Body)"/>
      </rPr>
      <t xml:space="preserve"> in the excavation </t>
    </r>
    <r>
      <rPr>
        <sz val="16"/>
        <color theme="1"/>
        <rFont val="Aptos Narrow"/>
        <family val="2"/>
        <scheme val="minor"/>
      </rPr>
      <t xml:space="preserve"> 
                                ACTION: </t>
    </r>
    <r>
      <rPr>
        <sz val="16"/>
        <color theme="1"/>
        <rFont val="Aptos Narrow (Body)"/>
      </rPr>
      <t>Savings on materials</t>
    </r>
    <r>
      <rPr>
        <sz val="16"/>
        <color theme="1"/>
        <rFont val="Aptos Narrow"/>
        <family val="2"/>
        <scheme val="minor"/>
      </rPr>
      <t xml:space="preserve"> have offset this, keeping us
</t>
    </r>
    <r>
      <rPr>
        <sz val="16"/>
        <color theme="6"/>
        <rFont val="Aptos Narrow (Body)"/>
      </rPr>
      <t xml:space="preserve">                               within 5% of our overall budget</t>
    </r>
    <r>
      <rPr>
        <sz val="16"/>
        <color theme="1"/>
        <rFont val="Aptos Narrow"/>
        <family val="2"/>
        <scheme val="minor"/>
      </rPr>
      <t xml:space="preserve"> projection for this phase.
- Substations construction: </t>
    </r>
    <r>
      <rPr>
        <sz val="16"/>
        <color theme="5" tint="-0.249977111117893"/>
        <rFont val="Aptos Narrow (Body)"/>
      </rPr>
      <t>Delay</t>
    </r>
    <r>
      <rPr>
        <sz val="16"/>
        <color theme="5"/>
        <rFont val="Aptos Narrow (Body)"/>
      </rPr>
      <t xml:space="preserve"> </t>
    </r>
    <r>
      <rPr>
        <sz val="16"/>
        <color theme="1"/>
        <rFont val="Aptos Narrow"/>
        <family val="2"/>
        <scheme val="minor"/>
      </rPr>
      <t>in electrical components
                                 ACTION: action plan in progress with Buyer</t>
    </r>
  </si>
  <si>
    <t>Metroville Urban Rail Expansion Project Dashboard</t>
  </si>
  <si>
    <t>←Illustrative</t>
  </si>
  <si>
    <t>68 mi</t>
  </si>
  <si>
    <t>Category</t>
  </si>
  <si>
    <t>Amount (in Million)</t>
  </si>
  <si>
    <t>Actual Spent</t>
  </si>
  <si>
    <t>Projected Budget</t>
  </si>
  <si>
    <t>Project Area</t>
  </si>
  <si>
    <t>Issue / Risk</t>
  </si>
  <si>
    <t>Impact</t>
  </si>
  <si>
    <t>Current Status</t>
  </si>
  <si>
    <t>Action / Mitigation Plan</t>
  </si>
  <si>
    <t>High risk due to terrain conditions</t>
  </si>
  <si>
    <t>6 miles behind schedule</t>
  </si>
  <si>
    <t>In progress</t>
  </si>
  <si>
    <t>Evaluation of alternative construction methods to expedite progress</t>
  </si>
  <si>
    <t>Overspend in excavation activities</t>
  </si>
  <si>
    <t>Cost pressure</t>
  </si>
  <si>
    <t>Controlled</t>
  </si>
  <si>
    <t>Savings on materials have offset costs, keeping spend within 5% of budget</t>
  </si>
  <si>
    <t>Substation Construction</t>
  </si>
  <si>
    <t>Delay in electrical component delivery</t>
  </si>
  <si>
    <t>Schedule delay</t>
  </si>
  <si>
    <t>Action plan being coordinated with procurement buyer</t>
  </si>
  <si>
    <t>Track Installation Status</t>
  </si>
  <si>
    <t>• 30 of 68 miles completed
• 6 miles added this period
• Phase 1 progressing steadily</t>
  </si>
  <si>
    <t>• Eastern Section delayed by terrain
• Southeastern: 10 of 15 miles completed
• Efficiency improved after upgrade</t>
  </si>
  <si>
    <t>Electrification progress</t>
  </si>
  <si>
    <t>Community &amp; Cost Status</t>
  </si>
  <si>
    <t>• Positive community engagement
• Noise concerns under review
• Costs controlled within 5% variance</t>
  </si>
  <si>
    <t>Metric Type</t>
  </si>
  <si>
    <t>Metric Name</t>
  </si>
  <si>
    <t>Value</t>
  </si>
  <si>
    <t>Financial</t>
  </si>
  <si>
    <t>Budget (INR M)</t>
  </si>
  <si>
    <t>Current Spend (INR M)</t>
  </si>
  <si>
    <t>Progress</t>
  </si>
  <si>
    <t>Electrification Completion (%)</t>
  </si>
  <si>
    <t>Track Installation Completion (%)</t>
  </si>
  <si>
    <t>Project</t>
  </si>
  <si>
    <t>Current Phase</t>
  </si>
  <si>
    <t>Grand Total</t>
  </si>
  <si>
    <t>Current Spent</t>
  </si>
  <si>
    <t>90M</t>
  </si>
  <si>
    <t>Budget</t>
  </si>
  <si>
    <t>125M</t>
  </si>
  <si>
    <t>Electrification completion 
(%)</t>
  </si>
  <si>
    <t>Track Installation
(%)</t>
  </si>
  <si>
    <t>Significant increase in complaints about nighttime construction noise in the Eastern Section. 
Residents are requesting that we limit work to daytime hours.</t>
  </si>
  <si>
    <t>Efforts to engage with the community have been well-received, with many expressing appreciation for our transparency and the opportunity to voice their concerns.</t>
  </si>
  <si>
    <r>
      <rPr>
        <b/>
        <i/>
        <u/>
        <sz val="22"/>
        <color rgb="FFFF0000"/>
        <rFont val="Aptos Narrow"/>
        <family val="2"/>
        <scheme val="minor"/>
      </rPr>
      <t>Relevant Risks</t>
    </r>
    <r>
      <rPr>
        <b/>
        <sz val="16"/>
        <color theme="1"/>
        <rFont val="Aptos Narrow"/>
        <family val="2"/>
        <scheme val="minor"/>
      </rPr>
      <t xml:space="preserve">
Schedule slippage and cost escalation in the Eastern Section, 
compounded by terrain challenges, 
community constraints, and 
supply-chain delay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</si>
</sst>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Aptos Narrow"/>
      <family val="2"/>
      <scheme val="minor"/>
    </font>
    <font>
      <sz val="10.5"/>
      <color rgb="FFECECEC"/>
      <name val="Arial"/>
      <family val="2"/>
    </font>
    <font>
      <sz val="10.5"/>
      <color rgb="FFECECEC"/>
      <name val="Arial"/>
      <family val="2"/>
    </font>
    <font>
      <sz val="10.5"/>
      <name val="Arial"/>
      <family val="2"/>
    </font>
    <font>
      <sz val="10.5"/>
      <name val="Calibri"/>
      <family val="2"/>
    </font>
    <font>
      <sz val="10.5"/>
      <name val="Calibri"/>
      <family val="2"/>
    </font>
    <font>
      <b/>
      <sz val="12"/>
      <color theme="1"/>
      <name val="Calibri"/>
      <family val="2"/>
    </font>
    <font>
      <b/>
      <sz val="12"/>
      <name val="Calibri"/>
      <family val="2"/>
    </font>
    <font>
      <sz val="12"/>
      <color theme="1"/>
      <name val="Aptos Narrow"/>
      <family val="2"/>
      <scheme val="minor"/>
    </font>
    <font>
      <b/>
      <sz val="16"/>
      <color theme="0"/>
      <name val="Aptos Narrow"/>
      <scheme val="minor"/>
    </font>
    <font>
      <sz val="12"/>
      <color theme="1"/>
      <name val="Arial"/>
      <family val="2"/>
    </font>
    <font>
      <b/>
      <sz val="16"/>
      <name val="Arial"/>
      <family val="2"/>
    </font>
    <font>
      <b/>
      <sz val="16"/>
      <name val="Aptos Narrow"/>
      <scheme val="minor"/>
    </font>
    <font>
      <sz val="14"/>
      <color theme="1"/>
      <name val="Aptos Narrow"/>
      <family val="2"/>
      <scheme val="minor"/>
    </font>
    <font>
      <sz val="14"/>
      <color theme="1"/>
      <name val="Arial"/>
      <family val="2"/>
    </font>
    <font>
      <sz val="8"/>
      <name val="Aptos Narrow"/>
      <family val="2"/>
      <scheme val="minor"/>
    </font>
    <font>
      <sz val="16"/>
      <color theme="1"/>
      <name val="Aptos Narrow"/>
      <family val="2"/>
      <scheme val="minor"/>
    </font>
    <font>
      <b/>
      <sz val="16"/>
      <color theme="1"/>
      <name val="Aptos Narrow"/>
      <scheme val="minor"/>
    </font>
    <font>
      <b/>
      <sz val="14"/>
      <color theme="1"/>
      <name val="Aptos Narrow"/>
      <scheme val="minor"/>
    </font>
    <font>
      <sz val="24"/>
      <color theme="0"/>
      <name val="Arial"/>
      <family val="2"/>
    </font>
    <font>
      <sz val="24"/>
      <color theme="4"/>
      <name val="Arial"/>
      <family val="2"/>
    </font>
    <font>
      <i/>
      <sz val="14"/>
      <color theme="8"/>
      <name val="Aptos Narrow"/>
      <scheme val="minor"/>
    </font>
    <font>
      <sz val="16"/>
      <color theme="5"/>
      <name val="Aptos Narrow (Body)"/>
    </font>
    <font>
      <sz val="16"/>
      <color theme="1"/>
      <name val="Aptos Narrow (Body)"/>
    </font>
    <font>
      <sz val="16"/>
      <color theme="6"/>
      <name val="Aptos Narrow (Body)"/>
    </font>
    <font>
      <sz val="16"/>
      <color theme="5" tint="-0.249977111117893"/>
      <name val="Aptos Narrow"/>
      <family val="2"/>
      <scheme val="minor"/>
    </font>
    <font>
      <sz val="16"/>
      <color theme="5" tint="-0.249977111117893"/>
      <name val="Aptos Narrow (Body)"/>
    </font>
    <font>
      <i/>
      <sz val="12"/>
      <color theme="8"/>
      <name val="Aptos Narrow"/>
      <scheme val="minor"/>
    </font>
    <font>
      <sz val="16"/>
      <name val="Aptos Narrow (Body)"/>
    </font>
    <font>
      <i/>
      <sz val="14"/>
      <color theme="8"/>
      <name val="Aptos Narrow (Body)"/>
    </font>
    <font>
      <b/>
      <sz val="12"/>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
      <b/>
      <sz val="22"/>
      <color theme="1"/>
      <name val="Aptos Narrow"/>
      <family val="2"/>
      <scheme val="minor"/>
    </font>
    <font>
      <sz val="12"/>
      <color theme="1"/>
      <name val="Aptos Narrow (Body)"/>
    </font>
    <font>
      <b/>
      <i/>
      <u/>
      <sz val="22"/>
      <color rgb="FFFF0000"/>
      <name val="Aptos Narrow"/>
      <family val="2"/>
      <scheme val="minor"/>
    </font>
  </fonts>
  <fills count="6">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34998626667073579"/>
        <bgColor indexed="64"/>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op>
      <bottom style="thin">
        <color theme="4"/>
      </bottom>
      <diagonal/>
    </border>
    <border>
      <left/>
      <right style="thin">
        <color theme="4"/>
      </right>
      <top/>
      <bottom/>
      <diagonal/>
    </border>
    <border>
      <left/>
      <right style="thin">
        <color theme="4"/>
      </right>
      <top style="thin">
        <color theme="4"/>
      </top>
      <bottom style="thin">
        <color theme="4"/>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right/>
      <top/>
      <bottom style="thin">
        <color theme="8"/>
      </bottom>
      <diagonal/>
    </border>
    <border>
      <left/>
      <right style="thin">
        <color theme="8"/>
      </right>
      <top/>
      <bottom style="thin">
        <color theme="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theme="1"/>
      </bottom>
      <diagonal/>
    </border>
  </borders>
  <cellStyleXfs count="2">
    <xf numFmtId="0" fontId="0" fillId="0" borderId="0"/>
    <xf numFmtId="9" fontId="8" fillId="0" borderId="0" applyFont="0" applyFill="0" applyBorder="0" applyAlignment="0" applyProtection="0"/>
  </cellStyleXfs>
  <cellXfs count="122">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4" fillId="0" borderId="0" xfId="0" applyFont="1"/>
    <xf numFmtId="0" fontId="4" fillId="0" borderId="2" xfId="0" applyFont="1" applyBorder="1"/>
    <xf numFmtId="0" fontId="5" fillId="0" borderId="0" xfId="0" applyFont="1"/>
    <xf numFmtId="9" fontId="5" fillId="0" borderId="0" xfId="0" applyNumberFormat="1" applyFont="1"/>
    <xf numFmtId="0" fontId="5" fillId="0" borderId="2" xfId="0" applyFont="1" applyBorder="1"/>
    <xf numFmtId="0" fontId="4" fillId="0" borderId="3" xfId="0" applyFont="1" applyBorder="1"/>
    <xf numFmtId="0" fontId="5" fillId="0" borderId="4" xfId="0" applyFont="1" applyBorder="1"/>
    <xf numFmtId="9" fontId="5" fillId="0" borderId="4" xfId="0" applyNumberFormat="1" applyFont="1" applyBorder="1"/>
    <xf numFmtId="0" fontId="5" fillId="0" borderId="5" xfId="0" applyFont="1" applyBorder="1"/>
    <xf numFmtId="9" fontId="0" fillId="0" borderId="0" xfId="1" applyFont="1"/>
    <xf numFmtId="0" fontId="10" fillId="0" borderId="0" xfId="0" applyFont="1"/>
    <xf numFmtId="0" fontId="12" fillId="0" borderId="0" xfId="0" applyFont="1"/>
    <xf numFmtId="0" fontId="13" fillId="0" borderId="0" xfId="0" applyFont="1"/>
    <xf numFmtId="0" fontId="10" fillId="4" borderId="0" xfId="0" applyFont="1" applyFill="1"/>
    <xf numFmtId="0" fontId="0" fillId="4" borderId="0" xfId="0" applyFill="1"/>
    <xf numFmtId="0" fontId="11" fillId="4" borderId="0" xfId="0" applyFont="1" applyFill="1"/>
    <xf numFmtId="0" fontId="12" fillId="4" borderId="0" xfId="0" applyFont="1" applyFill="1"/>
    <xf numFmtId="0" fontId="10" fillId="4" borderId="9" xfId="0" applyFont="1" applyFill="1" applyBorder="1"/>
    <xf numFmtId="0" fontId="14" fillId="4" borderId="0" xfId="0" applyFont="1" applyFill="1"/>
    <xf numFmtId="0" fontId="13" fillId="4" borderId="15" xfId="0" applyFont="1" applyFill="1" applyBorder="1"/>
    <xf numFmtId="0" fontId="18" fillId="4" borderId="0" xfId="0" applyFont="1" applyFill="1" applyAlignment="1">
      <alignment horizontal="center"/>
    </xf>
    <xf numFmtId="0" fontId="18" fillId="4" borderId="15" xfId="0" applyFont="1" applyFill="1" applyBorder="1" applyAlignment="1">
      <alignment horizontal="center"/>
    </xf>
    <xf numFmtId="0" fontId="13" fillId="4" borderId="0" xfId="0" applyFont="1" applyFill="1"/>
    <xf numFmtId="0" fontId="18" fillId="3" borderId="16" xfId="0" applyFont="1" applyFill="1" applyBorder="1" applyAlignment="1">
      <alignment horizontal="center"/>
    </xf>
    <xf numFmtId="0" fontId="13" fillId="3" borderId="14" xfId="0" applyFont="1" applyFill="1" applyBorder="1"/>
    <xf numFmtId="0" fontId="13" fillId="4" borderId="14" xfId="0" applyFont="1" applyFill="1" applyBorder="1"/>
    <xf numFmtId="0" fontId="13" fillId="4" borderId="16" xfId="0" applyFont="1" applyFill="1" applyBorder="1"/>
    <xf numFmtId="0" fontId="18" fillId="4" borderId="16" xfId="0" applyFont="1" applyFill="1" applyBorder="1" applyAlignment="1">
      <alignment horizontal="center"/>
    </xf>
    <xf numFmtId="0" fontId="20" fillId="5" borderId="0" xfId="0" applyFont="1" applyFill="1" applyAlignment="1">
      <alignment vertical="center"/>
    </xf>
    <xf numFmtId="0" fontId="9" fillId="2" borderId="0" xfId="0" applyFont="1" applyFill="1"/>
    <xf numFmtId="0" fontId="9" fillId="4" borderId="0" xfId="0" applyFont="1" applyFill="1"/>
    <xf numFmtId="0" fontId="4" fillId="0" borderId="5" xfId="0" applyFont="1" applyBorder="1"/>
    <xf numFmtId="0" fontId="29" fillId="4" borderId="0" xfId="0" applyFont="1" applyFill="1" applyAlignment="1">
      <alignment horizontal="left" vertical="top"/>
    </xf>
    <xf numFmtId="0" fontId="21" fillId="4" borderId="0" xfId="0" applyFont="1" applyFill="1"/>
    <xf numFmtId="9" fontId="0" fillId="0" borderId="0" xfId="1" applyFont="1" applyBorder="1"/>
    <xf numFmtId="9" fontId="0" fillId="0" borderId="32" xfId="1" applyFont="1" applyBorder="1"/>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27" fillId="4" borderId="0" xfId="0" applyFont="1" applyFill="1" applyAlignment="1">
      <alignment horizontal="center" vertical="center"/>
    </xf>
    <xf numFmtId="0" fontId="19" fillId="5" borderId="0" xfId="0" applyFont="1" applyFill="1" applyAlignment="1">
      <alignment horizontal="center" vertical="center" wrapText="1"/>
    </xf>
    <xf numFmtId="0" fontId="12" fillId="3" borderId="11" xfId="0" applyFont="1" applyFill="1" applyBorder="1" applyAlignment="1">
      <alignment horizontal="center"/>
    </xf>
    <xf numFmtId="0" fontId="12" fillId="3" borderId="12" xfId="0" applyFont="1" applyFill="1" applyBorder="1" applyAlignment="1">
      <alignment horizontal="center"/>
    </xf>
    <xf numFmtId="0" fontId="12" fillId="3" borderId="13" xfId="0" applyFont="1" applyFill="1" applyBorder="1" applyAlignment="1">
      <alignment horizontal="center"/>
    </xf>
    <xf numFmtId="0" fontId="16" fillId="4" borderId="30" xfId="0" quotePrefix="1" applyFont="1" applyFill="1" applyBorder="1" applyAlignment="1">
      <alignment vertical="top" wrapText="1"/>
    </xf>
    <xf numFmtId="0" fontId="9" fillId="2" borderId="0" xfId="0" applyFont="1" applyFill="1" applyAlignment="1">
      <alignment horizontal="center"/>
    </xf>
    <xf numFmtId="0" fontId="17" fillId="3" borderId="0" xfId="0" applyFont="1" applyFill="1" applyAlignment="1">
      <alignment horizontal="center"/>
    </xf>
    <xf numFmtId="9" fontId="4" fillId="0" borderId="0" xfId="0" applyNumberFormat="1" applyFont="1"/>
    <xf numFmtId="0" fontId="30" fillId="0" borderId="0" xfId="0" applyFont="1" applyAlignment="1">
      <alignment horizontal="center" vertical="center" wrapText="1"/>
    </xf>
    <xf numFmtId="0" fontId="0" fillId="0" borderId="0" xfId="0" applyAlignment="1">
      <alignment vertical="center" wrapText="1"/>
    </xf>
    <xf numFmtId="0" fontId="16" fillId="4" borderId="10" xfId="0" quotePrefix="1" applyFont="1" applyFill="1" applyBorder="1" applyAlignment="1">
      <alignment vertical="top" wrapText="1"/>
    </xf>
    <xf numFmtId="0" fontId="16" fillId="4" borderId="31" xfId="0" quotePrefix="1" applyFont="1" applyFill="1" applyBorder="1" applyAlignment="1">
      <alignment vertical="top" wrapText="1"/>
    </xf>
    <xf numFmtId="0" fontId="16" fillId="4" borderId="25" xfId="0" quotePrefix="1" applyFont="1" applyFill="1" applyBorder="1" applyAlignment="1">
      <alignment vertical="top" wrapText="1"/>
    </xf>
    <xf numFmtId="0" fontId="16" fillId="4" borderId="0" xfId="0" quotePrefix="1" applyFont="1" applyFill="1" applyBorder="1" applyAlignment="1">
      <alignment vertical="top" wrapText="1"/>
    </xf>
    <xf numFmtId="0" fontId="16" fillId="4" borderId="26" xfId="0" quotePrefix="1" applyFont="1" applyFill="1" applyBorder="1" applyAlignment="1">
      <alignment vertical="top" wrapText="1"/>
    </xf>
    <xf numFmtId="0" fontId="16" fillId="4" borderId="27" xfId="0" quotePrefix="1" applyFont="1" applyFill="1" applyBorder="1" applyAlignment="1">
      <alignment vertical="top" wrapText="1"/>
    </xf>
    <xf numFmtId="0" fontId="16" fillId="4" borderId="28" xfId="0" quotePrefix="1" applyFont="1" applyFill="1" applyBorder="1" applyAlignment="1">
      <alignment vertical="top" wrapText="1"/>
    </xf>
    <xf numFmtId="0" fontId="16" fillId="4" borderId="29" xfId="0" quotePrefix="1" applyFont="1" applyFill="1" applyBorder="1" applyAlignment="1">
      <alignment vertical="top" wrapText="1"/>
    </xf>
    <xf numFmtId="0" fontId="16" fillId="4" borderId="25" xfId="0" quotePrefix="1" applyFont="1" applyFill="1" applyBorder="1" applyAlignment="1">
      <alignment horizontal="left" vertical="center" wrapText="1"/>
    </xf>
    <xf numFmtId="0" fontId="32" fillId="4" borderId="0" xfId="0" quotePrefix="1" applyFont="1" applyFill="1" applyBorder="1" applyAlignment="1">
      <alignment horizontal="left" vertical="center" wrapText="1"/>
    </xf>
    <xf numFmtId="0" fontId="32" fillId="4" borderId="25" xfId="0" quotePrefix="1" applyFont="1" applyFill="1" applyBorder="1" applyAlignment="1">
      <alignment horizontal="left" vertical="center" wrapText="1"/>
    </xf>
    <xf numFmtId="0" fontId="16" fillId="4" borderId="0" xfId="0" quotePrefix="1" applyFont="1" applyFill="1" applyBorder="1" applyAlignment="1">
      <alignment horizontal="left" vertical="center" wrapText="1"/>
    </xf>
    <xf numFmtId="0" fontId="16" fillId="4" borderId="26" xfId="0" quotePrefix="1" applyFont="1" applyFill="1" applyBorder="1" applyAlignment="1">
      <alignment horizontal="left" vertical="center" wrapText="1"/>
    </xf>
    <xf numFmtId="0" fontId="31" fillId="4" borderId="0" xfId="0" quotePrefix="1" applyFont="1" applyFill="1" applyBorder="1" applyAlignment="1">
      <alignment horizontal="left" vertical="top" wrapText="1"/>
    </xf>
    <xf numFmtId="0" fontId="31" fillId="4" borderId="26" xfId="0" quotePrefix="1" applyFont="1" applyFill="1" applyBorder="1" applyAlignment="1">
      <alignment horizontal="left" vertical="top" wrapText="1"/>
    </xf>
    <xf numFmtId="0" fontId="16" fillId="4" borderId="27" xfId="0" quotePrefix="1" applyFont="1" applyFill="1" applyBorder="1" applyAlignment="1">
      <alignment horizontal="left" vertical="center" wrapText="1"/>
    </xf>
    <xf numFmtId="0" fontId="16" fillId="4" borderId="28" xfId="0" quotePrefix="1" applyFont="1" applyFill="1" applyBorder="1" applyAlignment="1">
      <alignment horizontal="left" vertical="center" wrapText="1"/>
    </xf>
    <xf numFmtId="0" fontId="16" fillId="4" borderId="29" xfId="0" quotePrefix="1" applyFont="1" applyFill="1" applyBorder="1" applyAlignment="1">
      <alignment horizontal="left" vertical="center" wrapText="1"/>
    </xf>
    <xf numFmtId="0" fontId="31" fillId="4" borderId="25" xfId="0" quotePrefix="1" applyFont="1" applyFill="1" applyBorder="1" applyAlignment="1">
      <alignment horizontal="left" vertical="top" wrapText="1"/>
    </xf>
    <xf numFmtId="0" fontId="31" fillId="4" borderId="30" xfId="0" quotePrefix="1" applyFont="1" applyFill="1" applyBorder="1" applyAlignment="1">
      <alignment horizontal="left" vertical="center" wrapText="1"/>
    </xf>
    <xf numFmtId="0" fontId="31" fillId="4" borderId="10" xfId="0" quotePrefix="1" applyFont="1" applyFill="1" applyBorder="1" applyAlignment="1">
      <alignment horizontal="left" vertical="center" wrapText="1"/>
    </xf>
    <xf numFmtId="0" fontId="31" fillId="4" borderId="25" xfId="0" quotePrefix="1" applyFont="1" applyFill="1" applyBorder="1" applyAlignment="1">
      <alignment horizontal="left" vertical="center" wrapText="1"/>
    </xf>
    <xf numFmtId="0" fontId="31" fillId="4" borderId="0" xfId="0" quotePrefix="1" applyFont="1" applyFill="1" applyBorder="1" applyAlignment="1">
      <alignment horizontal="left" vertical="center" wrapText="1"/>
    </xf>
    <xf numFmtId="0" fontId="31" fillId="4" borderId="31" xfId="0" quotePrefix="1" applyFont="1" applyFill="1" applyBorder="1" applyAlignment="1">
      <alignment horizontal="left" vertical="center" wrapText="1"/>
    </xf>
    <xf numFmtId="0" fontId="31" fillId="4" borderId="26" xfId="0" quotePrefix="1" applyFont="1" applyFill="1" applyBorder="1" applyAlignment="1">
      <alignment horizontal="left" vertical="center" wrapText="1"/>
    </xf>
    <xf numFmtId="0" fontId="0" fillId="0" borderId="0" xfId="0" applyAlignment="1">
      <alignment horizontal="left"/>
    </xf>
    <xf numFmtId="0" fontId="0" fillId="0" borderId="0" xfId="0" applyAlignment="1">
      <alignment horizontal="left" indent="1"/>
    </xf>
    <xf numFmtId="0" fontId="0" fillId="4" borderId="0" xfId="0" pivotButton="1" applyFill="1"/>
    <xf numFmtId="0" fontId="21" fillId="4" borderId="0" xfId="0" applyFont="1" applyFill="1" applyBorder="1" applyAlignment="1">
      <alignment vertical="center"/>
    </xf>
    <xf numFmtId="0" fontId="33" fillId="4" borderId="0" xfId="0" applyNumberFormat="1" applyFont="1" applyFill="1" applyBorder="1" applyAlignment="1">
      <alignment horizontal="center" vertical="center"/>
    </xf>
    <xf numFmtId="0" fontId="13" fillId="4" borderId="0" xfId="0" applyNumberFormat="1" applyFont="1" applyFill="1" applyBorder="1" applyAlignment="1">
      <alignment horizontal="center" vertical="center" wrapText="1"/>
    </xf>
    <xf numFmtId="0" fontId="16" fillId="4" borderId="0" xfId="0" applyNumberFormat="1" applyFont="1" applyFill="1" applyBorder="1" applyAlignment="1">
      <alignment horizontal="center" vertical="center" wrapText="1"/>
    </xf>
    <xf numFmtId="0" fontId="33" fillId="4" borderId="30" xfId="0" applyNumberFormat="1" applyFont="1" applyFill="1" applyBorder="1" applyAlignment="1">
      <alignment horizontal="center" vertical="center"/>
    </xf>
    <xf numFmtId="0" fontId="33" fillId="4" borderId="10" xfId="0" applyNumberFormat="1" applyFont="1" applyFill="1" applyBorder="1" applyAlignment="1">
      <alignment horizontal="center" vertical="center"/>
    </xf>
    <xf numFmtId="0" fontId="16" fillId="4" borderId="10" xfId="0" applyNumberFormat="1" applyFont="1" applyFill="1" applyBorder="1" applyAlignment="1">
      <alignment horizontal="center" vertical="center" wrapText="1"/>
    </xf>
    <xf numFmtId="0" fontId="13" fillId="4" borderId="10" xfId="0" applyNumberFormat="1" applyFont="1" applyFill="1" applyBorder="1" applyAlignment="1">
      <alignment horizontal="center" vertical="center" wrapText="1"/>
    </xf>
    <xf numFmtId="0" fontId="13" fillId="4" borderId="31" xfId="0" applyNumberFormat="1" applyFont="1" applyFill="1" applyBorder="1" applyAlignment="1">
      <alignment horizontal="center" vertical="center" wrapText="1"/>
    </xf>
    <xf numFmtId="0" fontId="33" fillId="4" borderId="25" xfId="0" applyNumberFormat="1" applyFont="1" applyFill="1" applyBorder="1" applyAlignment="1">
      <alignment horizontal="center" vertical="center"/>
    </xf>
    <xf numFmtId="0" fontId="13" fillId="4" borderId="26" xfId="0" applyNumberFormat="1" applyFont="1" applyFill="1" applyBorder="1" applyAlignment="1">
      <alignment horizontal="center" vertical="center" wrapText="1"/>
    </xf>
    <xf numFmtId="0" fontId="33" fillId="4" borderId="27" xfId="0" applyNumberFormat="1" applyFont="1" applyFill="1" applyBorder="1" applyAlignment="1">
      <alignment horizontal="center" vertical="center"/>
    </xf>
    <xf numFmtId="0" fontId="33" fillId="4" borderId="28" xfId="0" applyNumberFormat="1" applyFont="1" applyFill="1" applyBorder="1" applyAlignment="1">
      <alignment horizontal="center" vertical="center"/>
    </xf>
    <xf numFmtId="0" fontId="16" fillId="4" borderId="28" xfId="0" applyNumberFormat="1" applyFont="1" applyFill="1" applyBorder="1" applyAlignment="1">
      <alignment horizontal="center" vertical="center" wrapText="1"/>
    </xf>
    <xf numFmtId="0" fontId="13" fillId="4" borderId="28" xfId="0" applyNumberFormat="1" applyFont="1" applyFill="1" applyBorder="1" applyAlignment="1">
      <alignment horizontal="center" vertical="center" wrapText="1"/>
    </xf>
    <xf numFmtId="0" fontId="13" fillId="4" borderId="29" xfId="0" applyNumberFormat="1" applyFont="1" applyFill="1" applyBorder="1" applyAlignment="1">
      <alignment horizontal="center" vertical="center" wrapText="1"/>
    </xf>
    <xf numFmtId="0" fontId="34" fillId="4" borderId="10" xfId="0" applyFont="1" applyFill="1" applyBorder="1" applyAlignment="1">
      <alignment horizontal="center" vertical="center"/>
    </xf>
    <xf numFmtId="9" fontId="34" fillId="4" borderId="10" xfId="1" applyFont="1" applyFill="1" applyBorder="1" applyAlignment="1">
      <alignment horizontal="center" vertical="center"/>
    </xf>
    <xf numFmtId="0" fontId="34" fillId="4" borderId="28" xfId="0" applyFont="1" applyFill="1" applyBorder="1" applyAlignment="1">
      <alignment horizontal="center" vertical="center"/>
    </xf>
    <xf numFmtId="9" fontId="34" fillId="4" borderId="28" xfId="1" applyFont="1" applyFill="1" applyBorder="1" applyAlignment="1">
      <alignment horizontal="center" vertical="center"/>
    </xf>
    <xf numFmtId="0" fontId="34" fillId="4" borderId="30" xfId="0" applyFont="1" applyFill="1" applyBorder="1" applyAlignment="1">
      <alignment horizontal="center" vertical="center"/>
    </xf>
    <xf numFmtId="9" fontId="34" fillId="4" borderId="31" xfId="1" applyFont="1" applyFill="1" applyBorder="1" applyAlignment="1">
      <alignment horizontal="center" vertical="center"/>
    </xf>
    <xf numFmtId="0" fontId="34" fillId="4" borderId="27" xfId="0" applyFont="1" applyFill="1" applyBorder="1" applyAlignment="1">
      <alignment horizontal="center" vertical="center"/>
    </xf>
    <xf numFmtId="9" fontId="34" fillId="4" borderId="29" xfId="1" applyFont="1" applyFill="1" applyBorder="1" applyAlignment="1">
      <alignment horizontal="center" vertical="center"/>
    </xf>
    <xf numFmtId="0" fontId="0" fillId="4" borderId="12" xfId="0" applyFont="1" applyFill="1" applyBorder="1" applyAlignment="1">
      <alignment horizontal="left" vertical="center" wrapText="1"/>
    </xf>
    <xf numFmtId="0" fontId="0" fillId="4" borderId="13" xfId="0" applyFont="1" applyFill="1" applyBorder="1" applyAlignment="1">
      <alignment horizontal="left" vertical="center" wrapText="1"/>
    </xf>
    <xf numFmtId="0" fontId="35" fillId="4" borderId="11" xfId="0" applyFont="1" applyFill="1" applyBorder="1" applyAlignment="1">
      <alignment horizontal="left" vertical="center" wrapText="1"/>
    </xf>
    <xf numFmtId="0" fontId="31" fillId="4" borderId="17" xfId="0" applyFont="1" applyFill="1" applyBorder="1" applyAlignment="1">
      <alignment horizontal="left" vertical="center" wrapText="1"/>
    </xf>
    <xf numFmtId="0" fontId="31" fillId="4" borderId="18" xfId="0" applyFont="1" applyFill="1" applyBorder="1" applyAlignment="1">
      <alignment horizontal="left" vertical="center" wrapText="1"/>
    </xf>
    <xf numFmtId="0" fontId="31" fillId="4" borderId="19" xfId="0" applyFont="1" applyFill="1" applyBorder="1" applyAlignment="1">
      <alignment horizontal="left" vertical="center" wrapText="1"/>
    </xf>
    <xf numFmtId="0" fontId="31" fillId="4" borderId="20" xfId="0" applyFont="1" applyFill="1" applyBorder="1" applyAlignment="1">
      <alignment horizontal="left" vertical="center" wrapText="1"/>
    </xf>
    <xf numFmtId="0" fontId="31" fillId="4" borderId="0" xfId="0" applyFont="1" applyFill="1" applyAlignment="1">
      <alignment horizontal="left" vertical="center" wrapText="1"/>
    </xf>
    <xf numFmtId="0" fontId="31" fillId="4" borderId="21" xfId="0" applyFont="1" applyFill="1" applyBorder="1" applyAlignment="1">
      <alignment horizontal="left" vertical="center" wrapText="1"/>
    </xf>
    <xf numFmtId="0" fontId="31" fillId="4" borderId="22" xfId="0" applyFont="1" applyFill="1" applyBorder="1" applyAlignment="1">
      <alignment horizontal="left" vertical="center" wrapText="1"/>
    </xf>
    <xf numFmtId="0" fontId="31" fillId="4" borderId="23" xfId="0" applyFont="1" applyFill="1" applyBorder="1" applyAlignment="1">
      <alignment horizontal="left" vertical="center" wrapText="1"/>
    </xf>
    <xf numFmtId="0" fontId="31" fillId="4" borderId="24" xfId="0" applyFont="1" applyFill="1" applyBorder="1" applyAlignment="1">
      <alignment horizontal="left" vertical="center" wrapText="1"/>
    </xf>
  </cellXfs>
  <cellStyles count="2">
    <cellStyle name="Normal" xfId="0" builtinId="0"/>
    <cellStyle name="Percent" xfId="1" builtinId="5"/>
  </cellStyles>
  <dxfs count="12">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Track Installation - Completion %</a:t>
            </a:r>
          </a:p>
        </c:rich>
      </c:tx>
      <c:layout>
        <c:manualLayout>
          <c:xMode val="edge"/>
          <c:yMode val="edge"/>
          <c:x val="0.28038188976377948"/>
          <c:y val="3.240740740740740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stacked"/>
        <c:varyColors val="0"/>
        <c:ser>
          <c:idx val="1"/>
          <c:order val="0"/>
          <c:tx>
            <c:strRef>
              <c:f>Tracker!$F$4</c:f>
              <c:strCache>
                <c:ptCount val="1"/>
                <c:pt idx="0">
                  <c:v>Completed Mi % (Previous)</c:v>
                </c:pt>
              </c:strCache>
            </c:strRef>
          </c:tx>
          <c:spPr>
            <a:solidFill>
              <a:schemeClr val="accent2"/>
            </a:solidFill>
            <a:ln>
              <a:noFill/>
            </a:ln>
            <a:effectLst/>
          </c:spPr>
          <c:invertIfNegative val="0"/>
          <c:cat>
            <c:strRef>
              <c:f>Tracker!$A$5:$A$8</c:f>
              <c:strCache>
                <c:ptCount val="4"/>
                <c:pt idx="0">
                  <c:v>Central Urban Corridor</c:v>
                </c:pt>
                <c:pt idx="1">
                  <c:v>Southeastern Quadrant</c:v>
                </c:pt>
                <c:pt idx="2">
                  <c:v>Eastern Section</c:v>
                </c:pt>
                <c:pt idx="3">
                  <c:v>Western Industrial Area</c:v>
                </c:pt>
              </c:strCache>
            </c:strRef>
          </c:cat>
          <c:val>
            <c:numRef>
              <c:f>Tracker!$F$5:$F$8</c:f>
              <c:numCache>
                <c:formatCode>0%</c:formatCode>
                <c:ptCount val="4"/>
                <c:pt idx="0">
                  <c:v>0.63157894736842102</c:v>
                </c:pt>
                <c:pt idx="1">
                  <c:v>0.4</c:v>
                </c:pt>
                <c:pt idx="2">
                  <c:v>0.5</c:v>
                </c:pt>
                <c:pt idx="3">
                  <c:v>0.40909090909090912</c:v>
                </c:pt>
              </c:numCache>
            </c:numRef>
          </c:val>
          <c:extLst>
            <c:ext xmlns:c16="http://schemas.microsoft.com/office/drawing/2014/chart" uri="{C3380CC4-5D6E-409C-BE32-E72D297353CC}">
              <c16:uniqueId val="{00000000-4813-AF42-BF26-39B44F68EEA2}"/>
            </c:ext>
          </c:extLst>
        </c:ser>
        <c:ser>
          <c:idx val="2"/>
          <c:order val="1"/>
          <c:tx>
            <c:strRef>
              <c:f>Tracker!$G$4</c:f>
              <c:strCache>
                <c:ptCount val="1"/>
                <c:pt idx="0">
                  <c:v>Completed Mi % (This Week)</c:v>
                </c:pt>
              </c:strCache>
            </c:strRef>
          </c:tx>
          <c:spPr>
            <a:solidFill>
              <a:schemeClr val="accent3"/>
            </a:solidFill>
            <a:ln>
              <a:noFill/>
            </a:ln>
            <a:effectLst/>
          </c:spPr>
          <c:invertIfNegative val="0"/>
          <c:cat>
            <c:strRef>
              <c:f>Tracker!$A$5:$A$8</c:f>
              <c:strCache>
                <c:ptCount val="4"/>
                <c:pt idx="0">
                  <c:v>Central Urban Corridor</c:v>
                </c:pt>
                <c:pt idx="1">
                  <c:v>Southeastern Quadrant</c:v>
                </c:pt>
                <c:pt idx="2">
                  <c:v>Eastern Section</c:v>
                </c:pt>
                <c:pt idx="3">
                  <c:v>Western Industrial Area</c:v>
                </c:pt>
              </c:strCache>
            </c:strRef>
          </c:cat>
          <c:val>
            <c:numRef>
              <c:f>Tracker!$G$5:$G$8</c:f>
              <c:numCache>
                <c:formatCode>0%</c:formatCode>
                <c:ptCount val="4"/>
                <c:pt idx="0">
                  <c:v>0.21052631578947367</c:v>
                </c:pt>
                <c:pt idx="1">
                  <c:v>0.26666666666666666</c:v>
                </c:pt>
                <c:pt idx="2">
                  <c:v>0</c:v>
                </c:pt>
                <c:pt idx="3">
                  <c:v>0.31818181818181818</c:v>
                </c:pt>
              </c:numCache>
            </c:numRef>
          </c:val>
          <c:extLst>
            <c:ext xmlns:c16="http://schemas.microsoft.com/office/drawing/2014/chart" uri="{C3380CC4-5D6E-409C-BE32-E72D297353CC}">
              <c16:uniqueId val="{00000001-4813-AF42-BF26-39B44F68EEA2}"/>
            </c:ext>
          </c:extLst>
        </c:ser>
        <c:dLbls>
          <c:showLegendKey val="0"/>
          <c:showVal val="0"/>
          <c:showCatName val="0"/>
          <c:showSerName val="0"/>
          <c:showPercent val="0"/>
          <c:showBubbleSize val="0"/>
        </c:dLbls>
        <c:gapWidth val="100"/>
        <c:overlap val="100"/>
        <c:axId val="1991325584"/>
        <c:axId val="1753355440"/>
      </c:barChart>
      <c:catAx>
        <c:axId val="199132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3355440"/>
        <c:crosses val="autoZero"/>
        <c:auto val="1"/>
        <c:lblAlgn val="ctr"/>
        <c:lblOffset val="100"/>
        <c:noMultiLvlLbl val="0"/>
      </c:catAx>
      <c:valAx>
        <c:axId val="175335544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91325584"/>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Electrification Installation - Completion %</a:t>
            </a:r>
          </a:p>
        </c:rich>
      </c:tx>
      <c:layout>
        <c:manualLayout>
          <c:xMode val="edge"/>
          <c:yMode val="edge"/>
          <c:x val="0.25478123648780993"/>
          <c:y val="4.5652110050874127E-3"/>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Tracker!$F$11:$G$11</c:f>
              <c:strCache>
                <c:ptCount val="2"/>
                <c:pt idx="0">
                  <c:v>Completed Units % (Previous)</c:v>
                </c:pt>
                <c:pt idx="1">
                  <c:v>Completed Units % (This Week)</c:v>
                </c:pt>
              </c:strCache>
            </c:strRef>
          </c:cat>
          <c:val>
            <c:numRef>
              <c:f>Tracker!$F$12:$G$12</c:f>
              <c:numCache>
                <c:formatCode>0%</c:formatCode>
                <c:ptCount val="2"/>
                <c:pt idx="0">
                  <c:v>0.3</c:v>
                </c:pt>
                <c:pt idx="1">
                  <c:v>8.8235294117647065E-2</c:v>
                </c:pt>
              </c:numCache>
            </c:numRef>
          </c:val>
          <c:extLst>
            <c:ext xmlns:c16="http://schemas.microsoft.com/office/drawing/2014/chart" uri="{C3380CC4-5D6E-409C-BE32-E72D297353CC}">
              <c16:uniqueId val="{00000008-2F55-4048-B8F1-D9C1F22228C7}"/>
            </c:ext>
          </c:extLst>
        </c:ser>
        <c:dLbls>
          <c:showLegendKey val="0"/>
          <c:showVal val="0"/>
          <c:showCatName val="0"/>
          <c:showSerName val="0"/>
          <c:showPercent val="0"/>
          <c:showBubbleSize val="0"/>
        </c:dLbls>
        <c:gapWidth val="100"/>
        <c:axId val="1991325584"/>
        <c:axId val="1753355440"/>
      </c:barChart>
      <c:catAx>
        <c:axId val="199132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3355440"/>
        <c:crosses val="autoZero"/>
        <c:auto val="1"/>
        <c:lblAlgn val="ctr"/>
        <c:lblOffset val="100"/>
        <c:noMultiLvlLbl val="0"/>
      </c:catAx>
      <c:valAx>
        <c:axId val="1753355440"/>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91325584"/>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Sheet1!$B$1</c:f>
              <c:strCache>
                <c:ptCount val="1"/>
                <c:pt idx="0">
                  <c:v>Amount (in Million)</c:v>
                </c:pt>
              </c:strCache>
            </c:strRef>
          </c:tx>
          <c:spPr>
            <a:solidFill>
              <a:schemeClr val="accent1"/>
            </a:solidFill>
            <a:ln>
              <a:noFill/>
            </a:ln>
            <a:effectLst/>
          </c:spPr>
          <c:invertIfNegative val="0"/>
          <c:cat>
            <c:strRef>
              <c:f>Sheet1!$A$2:$A$3</c:f>
              <c:strCache>
                <c:ptCount val="2"/>
                <c:pt idx="0">
                  <c:v>Actual Spent</c:v>
                </c:pt>
                <c:pt idx="1">
                  <c:v>Projected Budget</c:v>
                </c:pt>
              </c:strCache>
            </c:strRef>
          </c:cat>
          <c:val>
            <c:numRef>
              <c:f>Sheet1!$B$2:$B$3</c:f>
              <c:numCache>
                <c:formatCode>General</c:formatCode>
                <c:ptCount val="2"/>
                <c:pt idx="0">
                  <c:v>90</c:v>
                </c:pt>
                <c:pt idx="1">
                  <c:v>125</c:v>
                </c:pt>
              </c:numCache>
            </c:numRef>
          </c:val>
          <c:extLst>
            <c:ext xmlns:c16="http://schemas.microsoft.com/office/drawing/2014/chart" uri="{C3380CC4-5D6E-409C-BE32-E72D297353CC}">
              <c16:uniqueId val="{00000002-E2C0-441C-8005-56A16680B960}"/>
            </c:ext>
          </c:extLst>
        </c:ser>
        <c:dLbls>
          <c:showLegendKey val="0"/>
          <c:showVal val="0"/>
          <c:showCatName val="0"/>
          <c:showSerName val="0"/>
          <c:showPercent val="0"/>
          <c:showBubbleSize val="0"/>
        </c:dLbls>
        <c:gapWidth val="219"/>
        <c:overlap val="-27"/>
        <c:axId val="1692556784"/>
        <c:axId val="1692569744"/>
      </c:barChart>
      <c:catAx>
        <c:axId val="169255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69744"/>
        <c:crosses val="autoZero"/>
        <c:auto val="1"/>
        <c:lblAlgn val="ctr"/>
        <c:lblOffset val="100"/>
        <c:noMultiLvlLbl val="0"/>
      </c:catAx>
      <c:valAx>
        <c:axId val="169256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556784"/>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svg"/><Relationship Id="rId7" Type="http://schemas.openxmlformats.org/officeDocument/2006/relationships/image" Target="https://download.logo.wine/logo/Siemens/Siemens-Logo.wine.png" TargetMode="Externa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40922</xdr:colOff>
      <xdr:row>11</xdr:row>
      <xdr:rowOff>193322</xdr:rowOff>
    </xdr:from>
    <xdr:to>
      <xdr:col>10</xdr:col>
      <xdr:colOff>28222</xdr:colOff>
      <xdr:row>23</xdr:row>
      <xdr:rowOff>67733</xdr:rowOff>
    </xdr:to>
    <xdr:graphicFrame macro="">
      <xdr:nvGraphicFramePr>
        <xdr:cNvPr id="4" name="Chart 3">
          <a:extLst>
            <a:ext uri="{FF2B5EF4-FFF2-40B4-BE49-F238E27FC236}">
              <a16:creationId xmlns:a16="http://schemas.microsoft.com/office/drawing/2014/main" id="{13EF9481-FCDE-3E4C-B1CE-2F20673CF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254000</xdr:colOff>
      <xdr:row>45</xdr:row>
      <xdr:rowOff>69272</xdr:rowOff>
    </xdr:from>
    <xdr:to>
      <xdr:col>3</xdr:col>
      <xdr:colOff>614219</xdr:colOff>
      <xdr:row>45</xdr:row>
      <xdr:rowOff>429491</xdr:rowOff>
    </xdr:to>
    <xdr:pic>
      <xdr:nvPicPr>
        <xdr:cNvPr id="7" name="Graphic 6" descr="Smiling face with solid fill with solid fill">
          <a:extLst>
            <a:ext uri="{FF2B5EF4-FFF2-40B4-BE49-F238E27FC236}">
              <a16:creationId xmlns:a16="http://schemas.microsoft.com/office/drawing/2014/main" id="{2E1AAABA-C514-F94F-B4BD-9E4B4B3BE9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85273" y="6857999"/>
          <a:ext cx="360219" cy="360219"/>
        </a:xfrm>
        <a:prstGeom prst="rect">
          <a:avLst/>
        </a:prstGeom>
      </xdr:spPr>
    </xdr:pic>
    <xdr:clientData/>
  </xdr:twoCellAnchor>
  <xdr:twoCellAnchor editAs="oneCell">
    <xdr:from>
      <xdr:col>3</xdr:col>
      <xdr:colOff>277091</xdr:colOff>
      <xdr:row>46</xdr:row>
      <xdr:rowOff>83130</xdr:rowOff>
    </xdr:from>
    <xdr:to>
      <xdr:col>3</xdr:col>
      <xdr:colOff>600363</xdr:colOff>
      <xdr:row>46</xdr:row>
      <xdr:rowOff>406402</xdr:rowOff>
    </xdr:to>
    <xdr:pic>
      <xdr:nvPicPr>
        <xdr:cNvPr id="9" name="Graphic 8" descr="Sad face with solid fill with solid fill">
          <a:extLst>
            <a:ext uri="{FF2B5EF4-FFF2-40B4-BE49-F238E27FC236}">
              <a16:creationId xmlns:a16="http://schemas.microsoft.com/office/drawing/2014/main" id="{3367868B-587F-B88C-F9D3-C2BDFA3DB9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8364" y="7345221"/>
          <a:ext cx="323272" cy="323272"/>
        </a:xfrm>
        <a:prstGeom prst="rect">
          <a:avLst/>
        </a:prstGeom>
      </xdr:spPr>
    </xdr:pic>
    <xdr:clientData/>
  </xdr:twoCellAnchor>
  <xdr:twoCellAnchor>
    <xdr:from>
      <xdr:col>14</xdr:col>
      <xdr:colOff>34636</xdr:colOff>
      <xdr:row>3</xdr:row>
      <xdr:rowOff>34637</xdr:rowOff>
    </xdr:from>
    <xdr:to>
      <xdr:col>15</xdr:col>
      <xdr:colOff>277090</xdr:colOff>
      <xdr:row>3</xdr:row>
      <xdr:rowOff>173182</xdr:rowOff>
    </xdr:to>
    <xdr:sp macro="" textlink="">
      <xdr:nvSpPr>
        <xdr:cNvPr id="13" name="Rounded Rectangle 12">
          <a:extLst>
            <a:ext uri="{FF2B5EF4-FFF2-40B4-BE49-F238E27FC236}">
              <a16:creationId xmlns:a16="http://schemas.microsoft.com/office/drawing/2014/main" id="{022BAD6D-6D6E-6775-42BC-A197C4AC8EDF}"/>
            </a:ext>
          </a:extLst>
        </xdr:cNvPr>
        <xdr:cNvSpPr/>
      </xdr:nvSpPr>
      <xdr:spPr>
        <a:xfrm>
          <a:off x="1350818" y="450273"/>
          <a:ext cx="1073727" cy="138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300181</xdr:colOff>
      <xdr:row>4</xdr:row>
      <xdr:rowOff>34636</xdr:rowOff>
    </xdr:from>
    <xdr:to>
      <xdr:col>16</xdr:col>
      <xdr:colOff>542636</xdr:colOff>
      <xdr:row>4</xdr:row>
      <xdr:rowOff>173181</xdr:rowOff>
    </xdr:to>
    <xdr:sp macro="" textlink="">
      <xdr:nvSpPr>
        <xdr:cNvPr id="14" name="Rounded Rectangle 13">
          <a:extLst>
            <a:ext uri="{FF2B5EF4-FFF2-40B4-BE49-F238E27FC236}">
              <a16:creationId xmlns:a16="http://schemas.microsoft.com/office/drawing/2014/main" id="{3BB47A2D-BAF2-594B-9039-D7C2C16162EB}"/>
            </a:ext>
          </a:extLst>
        </xdr:cNvPr>
        <xdr:cNvSpPr/>
      </xdr:nvSpPr>
      <xdr:spPr>
        <a:xfrm>
          <a:off x="2447636" y="658091"/>
          <a:ext cx="1073727" cy="138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579582</xdr:colOff>
      <xdr:row>5</xdr:row>
      <xdr:rowOff>48491</xdr:rowOff>
    </xdr:from>
    <xdr:to>
      <xdr:col>17</xdr:col>
      <xdr:colOff>822036</xdr:colOff>
      <xdr:row>5</xdr:row>
      <xdr:rowOff>187036</xdr:rowOff>
    </xdr:to>
    <xdr:sp macro="" textlink="">
      <xdr:nvSpPr>
        <xdr:cNvPr id="15" name="Rounded Rectangle 14">
          <a:extLst>
            <a:ext uri="{FF2B5EF4-FFF2-40B4-BE49-F238E27FC236}">
              <a16:creationId xmlns:a16="http://schemas.microsoft.com/office/drawing/2014/main" id="{E596011C-0430-DC4C-888B-606EE81203CD}"/>
            </a:ext>
          </a:extLst>
        </xdr:cNvPr>
        <xdr:cNvSpPr/>
      </xdr:nvSpPr>
      <xdr:spPr>
        <a:xfrm>
          <a:off x="3558309" y="879764"/>
          <a:ext cx="1073727" cy="138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39254</xdr:colOff>
      <xdr:row>6</xdr:row>
      <xdr:rowOff>39254</xdr:rowOff>
    </xdr:from>
    <xdr:to>
      <xdr:col>19</xdr:col>
      <xdr:colOff>281709</xdr:colOff>
      <xdr:row>6</xdr:row>
      <xdr:rowOff>177799</xdr:rowOff>
    </xdr:to>
    <xdr:sp macro="" textlink="">
      <xdr:nvSpPr>
        <xdr:cNvPr id="16" name="Rounded Rectangle 15">
          <a:extLst>
            <a:ext uri="{FF2B5EF4-FFF2-40B4-BE49-F238E27FC236}">
              <a16:creationId xmlns:a16="http://schemas.microsoft.com/office/drawing/2014/main" id="{6FCD907C-FF78-D246-A02F-03D91A09AD80}"/>
            </a:ext>
          </a:extLst>
        </xdr:cNvPr>
        <xdr:cNvSpPr/>
      </xdr:nvSpPr>
      <xdr:spPr>
        <a:xfrm>
          <a:off x="4680527" y="1078345"/>
          <a:ext cx="1073727" cy="1385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565727</xdr:colOff>
      <xdr:row>2</xdr:row>
      <xdr:rowOff>0</xdr:rowOff>
    </xdr:from>
    <xdr:to>
      <xdr:col>14</xdr:col>
      <xdr:colOff>565727</xdr:colOff>
      <xdr:row>7</xdr:row>
      <xdr:rowOff>138545</xdr:rowOff>
    </xdr:to>
    <xdr:cxnSp macro="">
      <xdr:nvCxnSpPr>
        <xdr:cNvPr id="18" name="Straight Connector 17">
          <a:extLst>
            <a:ext uri="{FF2B5EF4-FFF2-40B4-BE49-F238E27FC236}">
              <a16:creationId xmlns:a16="http://schemas.microsoft.com/office/drawing/2014/main" id="{F8B21075-73EA-1BB1-44B9-58552D69BA70}"/>
            </a:ext>
          </a:extLst>
        </xdr:cNvPr>
        <xdr:cNvCxnSpPr/>
      </xdr:nvCxnSpPr>
      <xdr:spPr>
        <a:xfrm>
          <a:off x="12978306" y="872289"/>
          <a:ext cx="0" cy="1291572"/>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xdr:from>
      <xdr:col>0</xdr:col>
      <xdr:colOff>0</xdr:colOff>
      <xdr:row>0</xdr:row>
      <xdr:rowOff>110324</xdr:rowOff>
    </xdr:from>
    <xdr:to>
      <xdr:col>2</xdr:col>
      <xdr:colOff>42718</xdr:colOff>
      <xdr:row>1</xdr:row>
      <xdr:rowOff>110324</xdr:rowOff>
    </xdr:to>
    <xdr:pic>
      <xdr:nvPicPr>
        <xdr:cNvPr id="20" name="Picture 2" descr="Download Siemens Logo in SVG Vector or PNG File Format - Logo.wine">
          <a:extLst>
            <a:ext uri="{FF2B5EF4-FFF2-40B4-BE49-F238E27FC236}">
              <a16:creationId xmlns:a16="http://schemas.microsoft.com/office/drawing/2014/main" id="{7205CB52-2D97-D35B-D91A-F334C4981C25}"/>
            </a:ext>
          </a:extLst>
        </xdr:cNvPr>
        <xdr:cNvPicPr>
          <a:picLocks noChangeAspect="1" noChangeArrowheads="1"/>
        </xdr:cNvPicPr>
      </xdr:nvPicPr>
      <xdr:blipFill rotWithShape="1">
        <a:blip xmlns:r="http://schemas.openxmlformats.org/officeDocument/2006/relationships" r:embed="rId6" r:link="rId7" cstate="print">
          <a:extLst>
            <a:ext uri="{28A0092B-C50C-407E-A947-70E740481C1C}">
              <a14:useLocalDpi xmlns:a14="http://schemas.microsoft.com/office/drawing/2010/main" val="0"/>
            </a:ext>
          </a:extLst>
        </a:blip>
        <a:srcRect t="25641"/>
        <a:stretch>
          <a:fillRect/>
        </a:stretch>
      </xdr:blipFill>
      <xdr:spPr bwMode="auto">
        <a:xfrm>
          <a:off x="0" y="110324"/>
          <a:ext cx="1355051" cy="677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384342</xdr:colOff>
      <xdr:row>12</xdr:row>
      <xdr:rowOff>0</xdr:rowOff>
    </xdr:from>
    <xdr:to>
      <xdr:col>16</xdr:col>
      <xdr:colOff>768684</xdr:colOff>
      <xdr:row>23</xdr:row>
      <xdr:rowOff>50131</xdr:rowOff>
    </xdr:to>
    <xdr:sp macro="" textlink="">
      <xdr:nvSpPr>
        <xdr:cNvPr id="2" name="Rectangle 1">
          <a:extLst>
            <a:ext uri="{FF2B5EF4-FFF2-40B4-BE49-F238E27FC236}">
              <a16:creationId xmlns:a16="http://schemas.microsoft.com/office/drawing/2014/main" id="{78E5BDEA-2340-E5C9-B339-3895985C11F9}"/>
            </a:ext>
          </a:extLst>
        </xdr:cNvPr>
        <xdr:cNvSpPr/>
      </xdr:nvSpPr>
      <xdr:spPr>
        <a:xfrm>
          <a:off x="8238289" y="3208421"/>
          <a:ext cx="5297237" cy="2255921"/>
        </a:xfrm>
        <a:prstGeom prst="rect">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167105</xdr:colOff>
      <xdr:row>15</xdr:row>
      <xdr:rowOff>183816</xdr:rowOff>
    </xdr:from>
    <xdr:to>
      <xdr:col>15</xdr:col>
      <xdr:colOff>384342</xdr:colOff>
      <xdr:row>18</xdr:row>
      <xdr:rowOff>100263</xdr:rowOff>
    </xdr:to>
    <xdr:sp macro="" textlink="">
      <xdr:nvSpPr>
        <xdr:cNvPr id="3" name="TextBox 2">
          <a:extLst>
            <a:ext uri="{FF2B5EF4-FFF2-40B4-BE49-F238E27FC236}">
              <a16:creationId xmlns:a16="http://schemas.microsoft.com/office/drawing/2014/main" id="{5CDBF8CB-5623-44CA-8292-F578449F1297}"/>
            </a:ext>
          </a:extLst>
        </xdr:cNvPr>
        <xdr:cNvSpPr txBox="1"/>
      </xdr:nvSpPr>
      <xdr:spPr>
        <a:xfrm>
          <a:off x="9658684" y="3993816"/>
          <a:ext cx="2673684" cy="51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a:solidFill>
                <a:schemeClr val="accent5"/>
              </a:solidFill>
            </a:rPr>
            <a:t>Add electrification</a:t>
          </a:r>
          <a:r>
            <a:rPr lang="en-US" sz="1400" i="1" baseline="0">
              <a:solidFill>
                <a:schemeClr val="accent5"/>
              </a:solidFill>
            </a:rPr>
            <a:t> progress</a:t>
          </a:r>
        </a:p>
        <a:p>
          <a:pPr algn="ctr"/>
          <a:endParaRPr lang="en-US" sz="1100"/>
        </a:p>
      </xdr:txBody>
    </xdr:sp>
    <xdr:clientData/>
  </xdr:twoCellAnchor>
  <xdr:twoCellAnchor>
    <xdr:from>
      <xdr:col>18</xdr:col>
      <xdr:colOff>0</xdr:colOff>
      <xdr:row>12</xdr:row>
      <xdr:rowOff>18716</xdr:rowOff>
    </xdr:from>
    <xdr:to>
      <xdr:col>23</xdr:col>
      <xdr:colOff>0</xdr:colOff>
      <xdr:row>23</xdr:row>
      <xdr:rowOff>68847</xdr:rowOff>
    </xdr:to>
    <xdr:sp macro="" textlink="">
      <xdr:nvSpPr>
        <xdr:cNvPr id="6" name="Rectangle 5">
          <a:extLst>
            <a:ext uri="{FF2B5EF4-FFF2-40B4-BE49-F238E27FC236}">
              <a16:creationId xmlns:a16="http://schemas.microsoft.com/office/drawing/2014/main" id="{FAEC2241-53AA-DF46-BF2A-D89A956239A6}"/>
            </a:ext>
          </a:extLst>
        </xdr:cNvPr>
        <xdr:cNvSpPr/>
      </xdr:nvSpPr>
      <xdr:spPr>
        <a:xfrm>
          <a:off x="14404474" y="3227137"/>
          <a:ext cx="4094079" cy="2255921"/>
        </a:xfrm>
        <a:prstGeom prst="rect">
          <a:avLst/>
        </a:prstGeom>
        <a:no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720558</xdr:colOff>
      <xdr:row>16</xdr:row>
      <xdr:rowOff>35427</xdr:rowOff>
    </xdr:from>
    <xdr:to>
      <xdr:col>22</xdr:col>
      <xdr:colOff>118979</xdr:colOff>
      <xdr:row>18</xdr:row>
      <xdr:rowOff>152400</xdr:rowOff>
    </xdr:to>
    <xdr:sp macro="" textlink="">
      <xdr:nvSpPr>
        <xdr:cNvPr id="8" name="TextBox 7">
          <a:extLst>
            <a:ext uri="{FF2B5EF4-FFF2-40B4-BE49-F238E27FC236}">
              <a16:creationId xmlns:a16="http://schemas.microsoft.com/office/drawing/2014/main" id="{B7B4A889-116A-D642-AD81-621479210870}"/>
            </a:ext>
          </a:extLst>
        </xdr:cNvPr>
        <xdr:cNvSpPr txBox="1"/>
      </xdr:nvSpPr>
      <xdr:spPr>
        <a:xfrm>
          <a:off x="15125032" y="4045953"/>
          <a:ext cx="2673684" cy="51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i="1">
              <a:solidFill>
                <a:schemeClr val="accent5"/>
              </a:solidFill>
            </a:rPr>
            <a:t>Add budget tracking</a:t>
          </a:r>
          <a:endParaRPr lang="en-US" sz="1400" i="1" baseline="0">
            <a:solidFill>
              <a:schemeClr val="accent5"/>
            </a:solidFill>
          </a:endParaRPr>
        </a:p>
        <a:p>
          <a:pPr algn="ctr"/>
          <a:endParaRPr lang="en-US" sz="1100"/>
        </a:p>
      </xdr:txBody>
    </xdr:sp>
    <xdr:clientData/>
  </xdr:twoCellAnchor>
  <xdr:twoCellAnchor>
    <xdr:from>
      <xdr:col>10</xdr:col>
      <xdr:colOff>290762</xdr:colOff>
      <xdr:row>11</xdr:row>
      <xdr:rowOff>190500</xdr:rowOff>
    </xdr:from>
    <xdr:to>
      <xdr:col>17</xdr:col>
      <xdr:colOff>278062</xdr:colOff>
      <xdr:row>23</xdr:row>
      <xdr:rowOff>64911</xdr:rowOff>
    </xdr:to>
    <xdr:graphicFrame macro="">
      <xdr:nvGraphicFramePr>
        <xdr:cNvPr id="10" name="Chart 9">
          <a:extLst>
            <a:ext uri="{FF2B5EF4-FFF2-40B4-BE49-F238E27FC236}">
              <a16:creationId xmlns:a16="http://schemas.microsoft.com/office/drawing/2014/main" id="{E434F22A-6D66-477F-84F6-09CAC256C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822157</xdr:colOff>
      <xdr:row>12</xdr:row>
      <xdr:rowOff>0</xdr:rowOff>
    </xdr:from>
    <xdr:to>
      <xdr:col>23</xdr:col>
      <xdr:colOff>30078</xdr:colOff>
      <xdr:row>23</xdr:row>
      <xdr:rowOff>74938</xdr:rowOff>
    </xdr:to>
    <xdr:graphicFrame macro="">
      <xdr:nvGraphicFramePr>
        <xdr:cNvPr id="11" name="Chart 10">
          <a:extLst>
            <a:ext uri="{FF2B5EF4-FFF2-40B4-BE49-F238E27FC236}">
              <a16:creationId xmlns:a16="http://schemas.microsoft.com/office/drawing/2014/main" id="{80917B52-E9DE-4018-ADEC-AAB4BEF67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281940</xdr:colOff>
      <xdr:row>6</xdr:row>
      <xdr:rowOff>99061</xdr:rowOff>
    </xdr:from>
    <xdr:to>
      <xdr:col>7</xdr:col>
      <xdr:colOff>15240</xdr:colOff>
      <xdr:row>16</xdr:row>
      <xdr:rowOff>60960</xdr:rowOff>
    </xdr:to>
    <mc:AlternateContent xmlns:mc="http://schemas.openxmlformats.org/markup-compatibility/2006">
      <mc:Choice xmlns:a14="http://schemas.microsoft.com/office/drawing/2010/main" Requires="a14">
        <xdr:graphicFrame macro="">
          <xdr:nvGraphicFramePr>
            <xdr:cNvPr id="3" name="Metric Type">
              <a:extLst>
                <a:ext uri="{FF2B5EF4-FFF2-40B4-BE49-F238E27FC236}">
                  <a16:creationId xmlns:a16="http://schemas.microsoft.com/office/drawing/2014/main" id="{566109A0-DDFA-5A56-7F1D-AB91E734B5B7}"/>
                </a:ext>
              </a:extLst>
            </xdr:cNvPr>
            <xdr:cNvGraphicFramePr/>
          </xdr:nvGraphicFramePr>
          <xdr:xfrm>
            <a:off x="0" y="0"/>
            <a:ext cx="0" cy="0"/>
          </xdr:xfrm>
          <a:graphic>
            <a:graphicData uri="http://schemas.microsoft.com/office/drawing/2010/slicer">
              <sle:slicer xmlns:sle="http://schemas.microsoft.com/office/drawing/2010/slicer" name="Metric Type"/>
            </a:graphicData>
          </a:graphic>
        </xdr:graphicFrame>
      </mc:Choice>
      <mc:Fallback>
        <xdr:sp macro="" textlink="">
          <xdr:nvSpPr>
            <xdr:cNvPr id="0" name=""/>
            <xdr:cNvSpPr>
              <a:spLocks noTextEdit="1"/>
            </xdr:cNvSpPr>
          </xdr:nvSpPr>
          <xdr:spPr>
            <a:xfrm>
              <a:off x="3802380" y="1287781"/>
              <a:ext cx="1744980" cy="194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shah" refreshedDate="46041.944845486112" createdVersion="8" refreshedVersion="8" minRefreshableVersion="3" recordCount="5" xr:uid="{E0FBB7A4-5216-4696-AC6A-F10DF70310BF}">
  <cacheSource type="worksheet">
    <worksheetSource name="Table3"/>
  </cacheSource>
  <cacheFields count="3">
    <cacheField name="Metric Type" numFmtId="0">
      <sharedItems count="3">
        <s v="Financial"/>
        <s v="Progress"/>
        <s v="Project"/>
      </sharedItems>
    </cacheField>
    <cacheField name="Metric Name" numFmtId="0">
      <sharedItems count="5">
        <s v="Budget (INR M)"/>
        <s v="Current Spend (INR M)"/>
        <s v="Electrification Completion (%)"/>
        <s v="Track Installation Completion (%)"/>
        <s v="Current Phase"/>
      </sharedItems>
    </cacheField>
    <cacheField name="Value" numFmtId="0">
      <sharedItems containsMixedTypes="1" containsNumber="1" containsInteger="1" minValue="44" maxValue="125" count="5">
        <n v="125"/>
        <n v="90"/>
        <n v="44"/>
        <n v="67"/>
        <s v="Phase 1"/>
      </sharedItems>
    </cacheField>
  </cacheFields>
  <extLst>
    <ext xmlns:x14="http://schemas.microsoft.com/office/spreadsheetml/2009/9/main" uri="{725AE2AE-9491-48be-B2B4-4EB974FC3084}">
      <x14:pivotCacheDefinition pivotCacheId="1926050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r>
  <r>
    <x v="0"/>
    <x v="1"/>
    <x v="1"/>
  </r>
  <r>
    <x v="1"/>
    <x v="2"/>
    <x v="2"/>
  </r>
  <r>
    <x v="1"/>
    <x v="3"/>
    <x v="3"/>
  </r>
  <r>
    <x v="2"/>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450EBC-BAB7-4B3E-9EAD-F1F5E10EB96E}" name="PivotTable3" cacheId="9"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A7" firstHeaderRow="0" firstDataRow="0" firstDataCol="1"/>
  <pivotFields count="3">
    <pivotField showAll="0">
      <items count="4">
        <item x="0"/>
        <item h="1" x="1"/>
        <item h="1" x="2"/>
        <item t="default"/>
      </items>
    </pivotField>
    <pivotField axis="axisRow" showAll="0">
      <items count="6">
        <item x="0"/>
        <item x="4"/>
        <item x="1"/>
        <item x="2"/>
        <item x="3"/>
        <item t="default"/>
      </items>
    </pivotField>
    <pivotField axis="axisRow" showAll="0">
      <items count="6">
        <item x="2"/>
        <item x="3"/>
        <item x="1"/>
        <item x="0"/>
        <item x="4"/>
        <item t="default"/>
      </items>
    </pivotField>
  </pivotFields>
  <rowFields count="2">
    <field x="1"/>
    <field x="2"/>
  </rowFields>
  <rowItems count="5">
    <i>
      <x/>
    </i>
    <i r="1">
      <x v="3"/>
    </i>
    <i>
      <x v="2"/>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_Type" xr10:uid="{770034EA-78A1-4EDE-B353-57D4106D6BA6}" sourceName="Metric Type">
  <pivotTables>
    <pivotTable tabId="4" name="PivotTable3"/>
  </pivotTables>
  <data>
    <tabular pivotCacheId="192605094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ric Type" xr10:uid="{D786E298-53EC-4C8F-A4A4-20F3785D5EA7}" cache="Slicer_Metric_Type" caption="Metric Type"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A3658B-7FD9-43C5-9FEA-79B1CC677986}" name="Table2" displayName="Table2" ref="A6:E9" totalsRowShown="0" headerRowDxfId="5" dataDxfId="6">
  <autoFilter ref="A6:E9" xr:uid="{03A3658B-7FD9-43C5-9FEA-79B1CC677986}"/>
  <tableColumns count="5">
    <tableColumn id="1" xr3:uid="{6228670C-DEDA-4955-ABBB-802B428027E8}" name="Project Area" dataDxfId="11"/>
    <tableColumn id="2" xr3:uid="{6008D35D-62E9-4170-A12E-B73CE1EC2B7B}" name="Issue / Risk" dataDxfId="10"/>
    <tableColumn id="3" xr3:uid="{2665E723-11C1-4669-AE97-74738615A023}" name="Impact" dataDxfId="9"/>
    <tableColumn id="4" xr3:uid="{6E6C5FA0-6729-4AFE-B955-FE8F6E4C31CF}" name="Current Status" dataDxfId="8"/>
    <tableColumn id="5" xr3:uid="{FA7E62F9-C632-4831-94FD-29CE51A2168D}" name="Action / Mitigation Plan"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C300FC-8168-4914-823C-A4FFFF7A4571}" name="Table3" displayName="Table3" ref="C13:E18" totalsRowShown="0" headerRowDxfId="0" dataDxfId="1">
  <autoFilter ref="C13:E18" xr:uid="{03C300FC-8168-4914-823C-A4FFFF7A4571}"/>
  <tableColumns count="3">
    <tableColumn id="1" xr3:uid="{D9B5596B-949D-4432-A3B7-9AEF2B54B95A}" name="Metric Type" dataDxfId="4"/>
    <tableColumn id="2" xr3:uid="{D0E11840-A2FD-4B9F-B960-90B144D17BD4}" name="Metric Name" dataDxfId="3"/>
    <tableColumn id="3" xr3:uid="{8DC86770-05B7-43F8-98B8-6734BC1C08F9}" name="Value"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D745-29C3-7F42-89E0-F7A7A70558BE}">
  <dimension ref="A2:H30"/>
  <sheetViews>
    <sheetView zoomScale="110" zoomScaleNormal="110" workbookViewId="0">
      <selection activeCell="E9" sqref="E9"/>
    </sheetView>
  </sheetViews>
  <sheetFormatPr defaultColWidth="11.19921875" defaultRowHeight="15.6"/>
  <cols>
    <col min="1" max="1" width="24.296875" bestFit="1" customWidth="1"/>
    <col min="2" max="2" width="10" customWidth="1"/>
    <col min="3" max="3" width="25.296875" bestFit="1" customWidth="1"/>
    <col min="4" max="4" width="26.69921875" bestFit="1" customWidth="1"/>
    <col min="5" max="5" width="13.69921875" bestFit="1" customWidth="1"/>
    <col min="6" max="6" width="25.296875" bestFit="1" customWidth="1"/>
    <col min="7" max="7" width="26.69921875" bestFit="1" customWidth="1"/>
    <col min="8" max="8" width="89" bestFit="1" customWidth="1"/>
  </cols>
  <sheetData>
    <row r="2" spans="1:8" ht="16.2" thickBot="1"/>
    <row r="3" spans="1:8" ht="16.2" thickBot="1">
      <c r="A3" s="44" t="s">
        <v>6</v>
      </c>
      <c r="B3" s="45"/>
      <c r="C3" s="45"/>
      <c r="D3" s="45"/>
      <c r="E3" s="45"/>
      <c r="F3" s="45"/>
      <c r="G3" s="45"/>
      <c r="H3" s="46"/>
    </row>
    <row r="4" spans="1:8" ht="16.2" thickTop="1">
      <c r="A4" s="4" t="s">
        <v>0</v>
      </c>
      <c r="B4" s="5" t="s">
        <v>17</v>
      </c>
      <c r="C4" s="5" t="s">
        <v>18</v>
      </c>
      <c r="D4" s="5" t="s">
        <v>19</v>
      </c>
      <c r="E4" s="5" t="s">
        <v>1</v>
      </c>
      <c r="F4" t="s">
        <v>32</v>
      </c>
      <c r="G4" t="s">
        <v>33</v>
      </c>
      <c r="H4" s="6" t="s">
        <v>2</v>
      </c>
    </row>
    <row r="5" spans="1:8">
      <c r="A5" s="4" t="s">
        <v>3</v>
      </c>
      <c r="B5" s="7" t="s">
        <v>7</v>
      </c>
      <c r="C5" s="7" t="s">
        <v>8</v>
      </c>
      <c r="D5" s="7" t="s">
        <v>9</v>
      </c>
      <c r="E5" s="8">
        <v>0.84</v>
      </c>
      <c r="F5" s="39">
        <f>12/19</f>
        <v>0.63157894736842102</v>
      </c>
      <c r="G5" s="39">
        <f>4/19</f>
        <v>0.21052631578947367</v>
      </c>
      <c r="H5" s="9" t="s">
        <v>20</v>
      </c>
    </row>
    <row r="6" spans="1:8">
      <c r="A6" s="4" t="s">
        <v>4</v>
      </c>
      <c r="B6" s="7" t="s">
        <v>10</v>
      </c>
      <c r="C6" s="7" t="s">
        <v>11</v>
      </c>
      <c r="D6" s="7">
        <v>10</v>
      </c>
      <c r="E6" s="55">
        <v>0.66659999999999997</v>
      </c>
      <c r="F6" s="39">
        <f>6/15</f>
        <v>0.4</v>
      </c>
      <c r="G6" s="39">
        <f>4/15</f>
        <v>0.26666666666666666</v>
      </c>
      <c r="H6" s="9" t="s">
        <v>21</v>
      </c>
    </row>
    <row r="7" spans="1:8">
      <c r="A7" s="4" t="s">
        <v>12</v>
      </c>
      <c r="B7" s="7" t="s">
        <v>8</v>
      </c>
      <c r="C7" s="7" t="s">
        <v>11</v>
      </c>
      <c r="D7" s="7">
        <v>6</v>
      </c>
      <c r="E7" s="8">
        <v>0.5</v>
      </c>
      <c r="F7" s="39">
        <f>6/12</f>
        <v>0.5</v>
      </c>
      <c r="G7" s="39">
        <v>0</v>
      </c>
      <c r="H7" s="9" t="s">
        <v>22</v>
      </c>
    </row>
    <row r="8" spans="1:8" ht="16.2" thickBot="1">
      <c r="A8" s="10" t="s">
        <v>5</v>
      </c>
      <c r="B8" s="11" t="s">
        <v>13</v>
      </c>
      <c r="C8" s="11" t="s">
        <v>14</v>
      </c>
      <c r="D8" s="11" t="s">
        <v>9</v>
      </c>
      <c r="E8" s="12">
        <v>0.73</v>
      </c>
      <c r="F8" s="40">
        <f>9/22</f>
        <v>0.40909090909090912</v>
      </c>
      <c r="G8" s="40">
        <f>7/22</f>
        <v>0.31818181818181818</v>
      </c>
      <c r="H8" s="13" t="s">
        <v>23</v>
      </c>
    </row>
    <row r="9" spans="1:8" ht="16.2" thickBot="1">
      <c r="A9" s="2"/>
      <c r="B9" s="2"/>
      <c r="C9" s="2"/>
      <c r="D9" s="2"/>
      <c r="E9" s="2"/>
      <c r="F9" s="2"/>
      <c r="G9" s="2"/>
      <c r="H9" s="3"/>
    </row>
    <row r="10" spans="1:8" ht="16.2" thickBot="1">
      <c r="A10" s="41" t="s">
        <v>15</v>
      </c>
      <c r="B10" s="42"/>
      <c r="C10" s="42"/>
      <c r="D10" s="42"/>
      <c r="E10" s="42"/>
      <c r="F10" s="42"/>
      <c r="G10" s="42"/>
      <c r="H10" s="43"/>
    </row>
    <row r="11" spans="1:8" ht="16.2" thickTop="1">
      <c r="A11" s="4" t="s">
        <v>24</v>
      </c>
      <c r="B11" s="5" t="s">
        <v>25</v>
      </c>
      <c r="C11" s="5" t="s">
        <v>26</v>
      </c>
      <c r="D11" s="5" t="s">
        <v>27</v>
      </c>
      <c r="E11" s="5" t="s">
        <v>1</v>
      </c>
      <c r="F11" t="s">
        <v>34</v>
      </c>
      <c r="G11" t="s">
        <v>35</v>
      </c>
      <c r="H11" s="6" t="s">
        <v>2</v>
      </c>
    </row>
    <row r="12" spans="1:8">
      <c r="A12" s="4" t="s">
        <v>28</v>
      </c>
      <c r="B12" s="5" t="s">
        <v>53</v>
      </c>
      <c r="C12" s="7" t="s">
        <v>16</v>
      </c>
      <c r="D12" s="7">
        <v>30</v>
      </c>
      <c r="E12" s="8">
        <v>0.5</v>
      </c>
      <c r="F12" s="14">
        <f>24/80</f>
        <v>0.3</v>
      </c>
      <c r="G12" s="14">
        <f>6/68</f>
        <v>8.8235294117647065E-2</v>
      </c>
      <c r="H12" s="9" t="s">
        <v>29</v>
      </c>
    </row>
    <row r="13" spans="1:8" ht="16.2" thickBot="1">
      <c r="A13" s="10" t="s">
        <v>30</v>
      </c>
      <c r="B13" s="11">
        <v>5</v>
      </c>
      <c r="C13" s="11">
        <v>2</v>
      </c>
      <c r="D13" s="11">
        <v>2</v>
      </c>
      <c r="E13" s="12">
        <v>0.4</v>
      </c>
      <c r="F13" s="40">
        <f>2/5</f>
        <v>0.4</v>
      </c>
      <c r="G13" s="40">
        <v>0</v>
      </c>
      <c r="H13" s="36" t="s">
        <v>31</v>
      </c>
    </row>
    <row r="14" spans="1:8">
      <c r="A14" s="2"/>
      <c r="B14" s="2"/>
      <c r="C14" s="2"/>
      <c r="D14" s="2"/>
      <c r="E14" s="2"/>
      <c r="F14" s="2"/>
      <c r="G14" s="2"/>
    </row>
    <row r="15" spans="1:8">
      <c r="A15" s="1"/>
      <c r="B15" s="2"/>
      <c r="C15" s="2"/>
      <c r="D15" s="2"/>
      <c r="E15" s="2"/>
      <c r="F15" s="2"/>
      <c r="G15" s="2"/>
    </row>
    <row r="16" spans="1:8">
      <c r="A16" s="2"/>
      <c r="B16" s="2"/>
      <c r="C16" s="2"/>
      <c r="D16" s="2"/>
      <c r="E16" s="2"/>
      <c r="F16" s="2"/>
      <c r="G16" s="2"/>
    </row>
    <row r="17" spans="1:7">
      <c r="A17" s="1"/>
      <c r="B17" s="2"/>
      <c r="C17" s="2"/>
      <c r="D17" s="2"/>
      <c r="E17" s="2"/>
      <c r="F17" s="2"/>
      <c r="G17" s="2"/>
    </row>
    <row r="18" spans="1:7">
      <c r="A18" s="2"/>
      <c r="B18" s="2"/>
      <c r="C18" s="2"/>
      <c r="D18" s="2"/>
      <c r="E18" s="2"/>
      <c r="F18" s="2"/>
      <c r="G18" s="2"/>
    </row>
    <row r="19" spans="1:7">
      <c r="A19" s="2"/>
      <c r="B19" s="2"/>
      <c r="C19" s="2"/>
      <c r="D19" s="2"/>
    </row>
    <row r="24" spans="1:7">
      <c r="B24" s="14"/>
      <c r="C24" s="14"/>
      <c r="D24" s="14"/>
    </row>
    <row r="25" spans="1:7">
      <c r="B25" s="14"/>
      <c r="C25" s="14"/>
      <c r="D25" s="14"/>
    </row>
    <row r="26" spans="1:7">
      <c r="B26" s="14"/>
      <c r="C26" s="14"/>
      <c r="D26" s="14"/>
    </row>
    <row r="27" spans="1:7">
      <c r="B27" s="14"/>
      <c r="C27" s="14"/>
      <c r="D27" s="14"/>
    </row>
    <row r="29" spans="1:7">
      <c r="C29" s="14"/>
      <c r="D29" s="14"/>
    </row>
    <row r="30" spans="1:7">
      <c r="C30" s="14"/>
      <c r="D30" s="14"/>
    </row>
  </sheetData>
  <mergeCells count="2">
    <mergeCell ref="A10:H10"/>
    <mergeCell ref="A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7A07-1D07-3D43-A6FF-984B08710D13}">
  <dimension ref="A1:Z49"/>
  <sheetViews>
    <sheetView tabSelected="1" topLeftCell="D1" zoomScale="76" zoomScaleNormal="76" workbookViewId="0">
      <selection activeCell="K49" sqref="K49"/>
    </sheetView>
  </sheetViews>
  <sheetFormatPr defaultColWidth="11.19921875" defaultRowHeight="15.6"/>
  <cols>
    <col min="1" max="1" width="6.296875" style="15" customWidth="1"/>
    <col min="10" max="10" width="11.19921875" customWidth="1"/>
  </cols>
  <sheetData>
    <row r="1" spans="1:26" ht="52.95" customHeight="1">
      <c r="A1" s="33"/>
      <c r="B1" s="33"/>
      <c r="C1" s="48" t="s">
        <v>51</v>
      </c>
      <c r="D1" s="48"/>
      <c r="E1" s="48"/>
      <c r="F1" s="48"/>
      <c r="G1" s="48"/>
      <c r="H1" s="48"/>
      <c r="I1" s="48"/>
      <c r="J1" s="48"/>
      <c r="K1" s="48"/>
      <c r="L1" s="48"/>
      <c r="M1" s="48"/>
      <c r="N1" s="48"/>
      <c r="O1" s="48"/>
      <c r="P1" s="48"/>
      <c r="Q1" s="48"/>
      <c r="R1" s="48"/>
      <c r="S1" s="48"/>
      <c r="T1" s="48"/>
      <c r="U1" s="48"/>
      <c r="V1" s="48"/>
      <c r="W1" s="48"/>
      <c r="X1" s="48"/>
      <c r="Y1" s="48"/>
      <c r="Z1" s="48"/>
    </row>
    <row r="2" spans="1:26">
      <c r="A2" s="18"/>
      <c r="B2" s="19"/>
      <c r="C2" s="19"/>
      <c r="D2" s="19"/>
      <c r="E2" s="19"/>
      <c r="F2" s="19"/>
      <c r="G2" s="19"/>
      <c r="H2" s="19"/>
      <c r="I2" s="19"/>
      <c r="J2" s="19"/>
      <c r="K2" s="19"/>
      <c r="L2" s="19"/>
      <c r="M2" s="19"/>
      <c r="N2" s="19"/>
      <c r="O2" s="19"/>
      <c r="P2" s="19"/>
      <c r="Q2" s="19"/>
      <c r="R2" s="19"/>
      <c r="S2" s="19"/>
      <c r="T2" s="19"/>
      <c r="U2" s="19"/>
      <c r="V2" s="19"/>
      <c r="W2" s="19"/>
      <c r="X2" s="19"/>
      <c r="Y2" s="19"/>
      <c r="Z2" s="19"/>
    </row>
    <row r="3" spans="1:26" s="17" customFormat="1" ht="18" customHeight="1">
      <c r="A3" s="23"/>
      <c r="B3" s="27"/>
      <c r="C3" s="27"/>
      <c r="D3" s="90" t="s">
        <v>93</v>
      </c>
      <c r="E3" s="91"/>
      <c r="F3" s="91" t="s">
        <v>95</v>
      </c>
      <c r="G3" s="91"/>
      <c r="H3" s="92" t="s">
        <v>98</v>
      </c>
      <c r="I3" s="92"/>
      <c r="J3" s="93" t="s">
        <v>97</v>
      </c>
      <c r="K3" s="94"/>
      <c r="L3" s="86"/>
      <c r="M3" s="86"/>
      <c r="N3" s="24"/>
      <c r="O3" s="25" t="s">
        <v>42</v>
      </c>
      <c r="P3" s="25" t="s">
        <v>43</v>
      </c>
      <c r="Q3" s="25" t="s">
        <v>44</v>
      </c>
      <c r="R3" s="26" t="s">
        <v>45</v>
      </c>
      <c r="S3" s="25" t="s">
        <v>42</v>
      </c>
      <c r="T3" s="25" t="s">
        <v>43</v>
      </c>
      <c r="U3" s="27"/>
      <c r="W3" s="27"/>
      <c r="X3" s="27"/>
      <c r="Y3" s="27"/>
      <c r="Z3" s="27"/>
    </row>
    <row r="4" spans="1:26" s="17" customFormat="1" ht="18" customHeight="1">
      <c r="A4" s="23"/>
      <c r="B4" s="27"/>
      <c r="C4" s="27"/>
      <c r="D4" s="95"/>
      <c r="E4" s="87"/>
      <c r="F4" s="87"/>
      <c r="G4" s="87"/>
      <c r="H4" s="89"/>
      <c r="I4" s="89"/>
      <c r="J4" s="88"/>
      <c r="K4" s="96"/>
      <c r="L4" s="86"/>
      <c r="M4" s="86"/>
      <c r="N4" s="28" t="s">
        <v>38</v>
      </c>
      <c r="O4" s="29"/>
      <c r="P4" s="29"/>
      <c r="Q4" s="30"/>
      <c r="R4" s="31"/>
      <c r="S4" s="30"/>
      <c r="T4" s="30"/>
      <c r="U4" s="27"/>
      <c r="W4" s="27"/>
      <c r="X4" s="27"/>
      <c r="Y4" s="27"/>
      <c r="Z4" s="27"/>
    </row>
    <row r="5" spans="1:26" s="17" customFormat="1" ht="18" customHeight="1">
      <c r="A5" s="23"/>
      <c r="B5" s="27"/>
      <c r="C5" s="27"/>
      <c r="D5" s="97"/>
      <c r="E5" s="98"/>
      <c r="F5" s="98"/>
      <c r="G5" s="98"/>
      <c r="H5" s="99"/>
      <c r="I5" s="99"/>
      <c r="J5" s="100"/>
      <c r="K5" s="101"/>
      <c r="L5" s="86"/>
      <c r="M5" s="86"/>
      <c r="N5" s="32" t="s">
        <v>39</v>
      </c>
      <c r="O5" s="30"/>
      <c r="P5" s="30"/>
      <c r="Q5" s="30"/>
      <c r="R5" s="31"/>
      <c r="S5" s="30"/>
      <c r="T5" s="30"/>
      <c r="U5" s="37" t="s">
        <v>52</v>
      </c>
      <c r="W5" s="37"/>
      <c r="X5" s="37"/>
      <c r="Y5" s="27"/>
      <c r="Z5" s="27"/>
    </row>
    <row r="6" spans="1:26" s="17" customFormat="1" ht="18" customHeight="1">
      <c r="A6" s="23"/>
      <c r="B6" s="27"/>
      <c r="C6" s="27"/>
      <c r="D6" s="106" t="s">
        <v>94</v>
      </c>
      <c r="E6" s="102"/>
      <c r="F6" s="102" t="s">
        <v>96</v>
      </c>
      <c r="G6" s="102"/>
      <c r="H6" s="103">
        <v>0.5</v>
      </c>
      <c r="I6" s="103"/>
      <c r="J6" s="103">
        <v>0.4</v>
      </c>
      <c r="K6" s="107"/>
      <c r="L6" s="86"/>
      <c r="M6" s="27"/>
      <c r="N6" s="32" t="s">
        <v>40</v>
      </c>
      <c r="O6" s="30"/>
      <c r="P6" s="30"/>
      <c r="Q6" s="30"/>
      <c r="R6" s="31"/>
      <c r="S6" s="30"/>
      <c r="T6" s="30"/>
      <c r="U6" s="27"/>
      <c r="W6" s="27"/>
      <c r="X6" s="27"/>
      <c r="Y6" s="27"/>
      <c r="Z6" s="27"/>
    </row>
    <row r="7" spans="1:26" s="17" customFormat="1" ht="18" customHeight="1">
      <c r="A7" s="23"/>
      <c r="B7" s="27"/>
      <c r="C7" s="27"/>
      <c r="D7" s="108"/>
      <c r="E7" s="104"/>
      <c r="F7" s="104"/>
      <c r="G7" s="104"/>
      <c r="H7" s="105"/>
      <c r="I7" s="105"/>
      <c r="J7" s="105"/>
      <c r="K7" s="109"/>
      <c r="L7" s="86"/>
      <c r="M7" s="27"/>
      <c r="N7" s="32" t="s">
        <v>41</v>
      </c>
      <c r="O7" s="30"/>
      <c r="P7" s="30"/>
      <c r="Q7" s="30"/>
      <c r="R7" s="31"/>
      <c r="S7" s="30"/>
      <c r="T7" s="30"/>
      <c r="U7" s="27"/>
      <c r="W7" s="27"/>
      <c r="X7" s="27"/>
      <c r="Y7" s="27"/>
      <c r="Z7" s="27"/>
    </row>
    <row r="8" spans="1:26">
      <c r="A8" s="18"/>
      <c r="B8" s="19"/>
      <c r="C8" s="19"/>
      <c r="D8" s="19"/>
      <c r="E8" s="19"/>
      <c r="F8" s="19"/>
      <c r="G8" s="19"/>
      <c r="H8" s="19"/>
      <c r="I8" s="19"/>
      <c r="J8" s="19"/>
      <c r="K8" s="19"/>
      <c r="L8" s="19"/>
      <c r="M8" s="19"/>
      <c r="N8" s="19"/>
      <c r="O8" s="19"/>
      <c r="P8" s="19"/>
      <c r="Q8" s="19"/>
      <c r="R8" s="19"/>
      <c r="S8" s="19"/>
      <c r="T8" s="19"/>
      <c r="U8" s="19"/>
      <c r="V8" s="19"/>
      <c r="W8" s="19"/>
      <c r="X8" s="19"/>
      <c r="Y8" s="19"/>
      <c r="Z8" s="19"/>
    </row>
    <row r="9" spans="1:26" s="16" customFormat="1" ht="21">
      <c r="A9" s="20"/>
      <c r="B9" s="21"/>
      <c r="C9" s="21"/>
      <c r="D9" s="53" t="s">
        <v>47</v>
      </c>
      <c r="E9" s="53"/>
      <c r="F9" s="53"/>
      <c r="G9" s="53"/>
      <c r="H9" s="53"/>
      <c r="I9" s="53"/>
      <c r="J9" s="53"/>
      <c r="K9" s="53"/>
      <c r="L9" s="53"/>
      <c r="M9" s="53"/>
      <c r="N9" s="53"/>
      <c r="O9" s="53"/>
      <c r="P9" s="53"/>
      <c r="Q9" s="53"/>
      <c r="R9" s="53"/>
      <c r="S9" s="53"/>
      <c r="T9" s="53"/>
      <c r="U9" s="53"/>
      <c r="V9" s="53"/>
      <c r="W9" s="53"/>
      <c r="X9" s="35"/>
      <c r="Y9" s="35"/>
      <c r="Z9" s="21"/>
    </row>
    <row r="10" spans="1:26">
      <c r="A10" s="18"/>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21">
      <c r="A11" s="18"/>
      <c r="B11" s="19"/>
      <c r="C11" s="19"/>
      <c r="D11" s="54" t="s">
        <v>48</v>
      </c>
      <c r="E11" s="54"/>
      <c r="F11" s="54"/>
      <c r="G11" s="54"/>
      <c r="H11" s="54"/>
      <c r="I11" s="54"/>
      <c r="J11" s="54"/>
      <c r="K11" s="54"/>
      <c r="L11" s="54"/>
      <c r="M11" s="54"/>
      <c r="N11" s="54"/>
      <c r="O11" s="54"/>
      <c r="P11" s="54"/>
      <c r="Q11" s="54"/>
      <c r="R11" s="19"/>
      <c r="S11" s="54" t="s">
        <v>37</v>
      </c>
      <c r="T11" s="54"/>
      <c r="U11" s="54"/>
      <c r="V11" s="54"/>
      <c r="W11" s="54"/>
      <c r="X11" s="19"/>
      <c r="Y11" s="19"/>
      <c r="Z11" s="19"/>
    </row>
    <row r="12" spans="1:26">
      <c r="A12" s="18"/>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c r="A13" s="18"/>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c r="A14" s="18"/>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spans="1:26">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6.05" customHeight="1">
      <c r="A17" s="18"/>
      <c r="B17" s="19"/>
      <c r="C17" s="19"/>
      <c r="D17" s="19"/>
      <c r="E17" s="19"/>
      <c r="F17" s="19"/>
      <c r="G17" s="19"/>
      <c r="H17" s="19"/>
      <c r="I17" s="19"/>
      <c r="J17" s="19"/>
      <c r="K17" s="19"/>
      <c r="L17" s="19"/>
      <c r="M17" s="19"/>
      <c r="N17" s="38"/>
      <c r="O17" s="19"/>
      <c r="P17" s="19"/>
      <c r="Q17" s="19"/>
      <c r="R17" s="19"/>
      <c r="S17" s="19"/>
      <c r="T17" s="19"/>
      <c r="U17" s="19"/>
      <c r="V17" s="19"/>
      <c r="W17" s="19"/>
      <c r="X17" s="19"/>
      <c r="Y17" s="19"/>
      <c r="Z17" s="19"/>
    </row>
    <row r="18" spans="1:26" ht="16.05" customHeight="1">
      <c r="A18" s="18"/>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spans="1:26" ht="16.05" customHeight="1">
      <c r="A19" s="18"/>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spans="1:26" ht="16.05" customHeight="1">
      <c r="A20" s="18"/>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6.05" customHeight="1">
      <c r="A21" s="18"/>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c r="A22" s="18"/>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c r="A23" s="18"/>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c r="A24" s="18"/>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c r="A25" s="18"/>
      <c r="B25" s="19"/>
      <c r="C25" s="19"/>
      <c r="D25" s="19"/>
      <c r="E25" s="19"/>
      <c r="F25" s="19"/>
      <c r="G25" s="19"/>
      <c r="H25" s="19"/>
      <c r="I25" s="19"/>
      <c r="J25" s="19"/>
      <c r="K25" s="19"/>
      <c r="L25" s="19"/>
      <c r="M25" s="19"/>
      <c r="N25" s="19"/>
      <c r="O25" s="19"/>
      <c r="P25" s="19"/>
      <c r="Q25" s="19"/>
      <c r="R25" s="19"/>
      <c r="S25" s="19"/>
      <c r="T25" s="19"/>
      <c r="U25" s="19"/>
      <c r="V25" s="19"/>
      <c r="W25" s="85"/>
      <c r="X25" s="19"/>
      <c r="Y25" s="19"/>
      <c r="Z25" s="19"/>
    </row>
    <row r="26" spans="1:26" ht="21">
      <c r="A26" s="18"/>
      <c r="B26" s="19"/>
      <c r="C26" s="19"/>
      <c r="D26" s="49" t="s">
        <v>49</v>
      </c>
      <c r="E26" s="50"/>
      <c r="F26" s="50"/>
      <c r="G26" s="50"/>
      <c r="H26" s="50"/>
      <c r="I26" s="50"/>
      <c r="J26" s="51"/>
      <c r="K26" s="49" t="s">
        <v>36</v>
      </c>
      <c r="L26" s="50"/>
      <c r="M26" s="50"/>
      <c r="N26" s="50"/>
      <c r="O26" s="50"/>
      <c r="P26" s="50"/>
      <c r="Q26" s="51"/>
      <c r="R26" s="19"/>
      <c r="S26" s="19"/>
      <c r="T26" s="19"/>
      <c r="U26" s="19"/>
      <c r="V26" s="19"/>
      <c r="W26" s="19"/>
      <c r="X26" s="19"/>
      <c r="Y26" s="19"/>
      <c r="Z26" s="19"/>
    </row>
    <row r="27" spans="1:26" ht="15.6" customHeight="1">
      <c r="A27" s="18"/>
      <c r="B27" s="19"/>
      <c r="C27" s="19"/>
      <c r="D27" s="77" t="s">
        <v>78</v>
      </c>
      <c r="E27" s="78"/>
      <c r="F27" s="78"/>
      <c r="G27" s="78" t="s">
        <v>75</v>
      </c>
      <c r="H27" s="78"/>
      <c r="I27" s="78"/>
      <c r="J27" s="81"/>
      <c r="K27" s="52" t="s">
        <v>50</v>
      </c>
      <c r="L27" s="58"/>
      <c r="M27" s="58"/>
      <c r="N27" s="58"/>
      <c r="O27" s="58"/>
      <c r="P27" s="58"/>
      <c r="Q27" s="59"/>
      <c r="R27" s="19"/>
      <c r="S27" s="19"/>
      <c r="T27" s="19"/>
      <c r="U27" s="19"/>
      <c r="V27" s="19"/>
      <c r="W27" s="19"/>
      <c r="X27" s="19"/>
      <c r="Y27" s="19"/>
      <c r="Z27" s="19"/>
    </row>
    <row r="28" spans="1:26" ht="15.6" customHeight="1">
      <c r="A28" s="18"/>
      <c r="B28" s="19"/>
      <c r="C28" s="19"/>
      <c r="D28" s="79"/>
      <c r="E28" s="80"/>
      <c r="F28" s="80"/>
      <c r="G28" s="80"/>
      <c r="H28" s="80"/>
      <c r="I28" s="80"/>
      <c r="J28" s="82"/>
      <c r="K28" s="60"/>
      <c r="L28" s="61"/>
      <c r="M28" s="61"/>
      <c r="N28" s="61"/>
      <c r="O28" s="61"/>
      <c r="P28" s="61"/>
      <c r="Q28" s="62"/>
      <c r="R28" s="19"/>
      <c r="S28" s="19"/>
      <c r="T28" s="19"/>
      <c r="U28" s="19"/>
      <c r="V28" s="19"/>
      <c r="W28" s="19"/>
      <c r="X28" s="19"/>
      <c r="Y28" s="19"/>
      <c r="Z28" s="19"/>
    </row>
    <row r="29" spans="1:26" ht="15.6" customHeight="1">
      <c r="A29" s="18"/>
      <c r="B29" s="19"/>
      <c r="C29" s="19"/>
      <c r="D29" s="66" t="s">
        <v>76</v>
      </c>
      <c r="E29" s="67"/>
      <c r="F29" s="67"/>
      <c r="G29" s="69" t="s">
        <v>77</v>
      </c>
      <c r="H29" s="69"/>
      <c r="I29" s="69"/>
      <c r="J29" s="70"/>
      <c r="K29" s="60"/>
      <c r="L29" s="61"/>
      <c r="M29" s="61"/>
      <c r="N29" s="61"/>
      <c r="O29" s="61"/>
      <c r="P29" s="61"/>
      <c r="Q29" s="62"/>
      <c r="R29" s="19"/>
      <c r="S29" s="47"/>
      <c r="T29" s="47"/>
      <c r="U29" s="47"/>
      <c r="V29" s="47"/>
      <c r="W29" s="47"/>
      <c r="X29" s="19"/>
      <c r="Y29" s="19"/>
      <c r="Z29" s="19"/>
    </row>
    <row r="30" spans="1:26" s="16" customFormat="1" ht="21" customHeight="1">
      <c r="A30" s="20"/>
      <c r="B30" s="21"/>
      <c r="C30" s="21"/>
      <c r="D30" s="68"/>
      <c r="E30" s="67"/>
      <c r="F30" s="67"/>
      <c r="G30" s="69"/>
      <c r="H30" s="69"/>
      <c r="I30" s="69"/>
      <c r="J30" s="70"/>
      <c r="K30" s="60"/>
      <c r="L30" s="61"/>
      <c r="M30" s="61"/>
      <c r="N30" s="61"/>
      <c r="O30" s="61"/>
      <c r="P30" s="61"/>
      <c r="Q30" s="62"/>
      <c r="R30" s="19"/>
      <c r="S30" s="47"/>
      <c r="T30" s="47"/>
      <c r="U30" s="47"/>
      <c r="V30" s="47"/>
      <c r="W30" s="47"/>
      <c r="X30" s="21"/>
      <c r="Y30" s="21"/>
      <c r="Z30" s="21"/>
    </row>
    <row r="31" spans="1:26" s="16" customFormat="1" ht="21" customHeight="1">
      <c r="A31" s="20"/>
      <c r="C31" s="21"/>
      <c r="D31" s="68"/>
      <c r="E31" s="67"/>
      <c r="F31" s="67"/>
      <c r="G31" s="69"/>
      <c r="H31" s="69"/>
      <c r="I31" s="69"/>
      <c r="J31" s="70"/>
      <c r="K31" s="60"/>
      <c r="L31" s="61"/>
      <c r="M31" s="61"/>
      <c r="N31" s="61"/>
      <c r="O31" s="61"/>
      <c r="P31" s="61"/>
      <c r="Q31" s="62"/>
      <c r="R31" s="19"/>
      <c r="S31" s="47"/>
      <c r="T31" s="47"/>
      <c r="U31" s="47"/>
      <c r="V31" s="47"/>
      <c r="W31" s="47"/>
      <c r="X31" s="21"/>
      <c r="Y31" s="21"/>
      <c r="Z31" s="21"/>
    </row>
    <row r="32" spans="1:26" s="16" customFormat="1" ht="21" customHeight="1">
      <c r="A32" s="20"/>
      <c r="B32" s="21"/>
      <c r="C32" s="21"/>
      <c r="D32" s="68"/>
      <c r="E32" s="67"/>
      <c r="F32" s="67"/>
      <c r="G32" s="69"/>
      <c r="H32" s="69"/>
      <c r="I32" s="69"/>
      <c r="J32" s="70"/>
      <c r="K32" s="60"/>
      <c r="L32" s="61"/>
      <c r="M32" s="61"/>
      <c r="N32" s="61"/>
      <c r="O32" s="61"/>
      <c r="P32" s="61"/>
      <c r="Q32" s="62"/>
      <c r="R32" s="19"/>
      <c r="S32" s="47"/>
      <c r="T32" s="47"/>
      <c r="U32" s="47"/>
      <c r="V32" s="47"/>
      <c r="W32" s="47"/>
      <c r="X32" s="21"/>
      <c r="Y32" s="21"/>
      <c r="Z32" s="21"/>
    </row>
    <row r="33" spans="1:26" s="16" customFormat="1" ht="21" customHeight="1">
      <c r="A33" s="20"/>
      <c r="B33" s="21"/>
      <c r="C33" s="21"/>
      <c r="D33" s="68"/>
      <c r="E33" s="67"/>
      <c r="F33" s="67"/>
      <c r="G33" s="69"/>
      <c r="H33" s="69"/>
      <c r="I33" s="69"/>
      <c r="J33" s="70"/>
      <c r="K33" s="60"/>
      <c r="L33" s="61"/>
      <c r="M33" s="61"/>
      <c r="N33" s="61"/>
      <c r="O33" s="61"/>
      <c r="P33" s="61"/>
      <c r="Q33" s="62"/>
      <c r="R33" s="19"/>
      <c r="S33" s="47"/>
      <c r="T33" s="47"/>
      <c r="U33" s="47"/>
      <c r="V33" s="47"/>
      <c r="W33" s="47"/>
      <c r="X33" s="21"/>
      <c r="Y33" s="21"/>
      <c r="Z33" s="21"/>
    </row>
    <row r="34" spans="1:26" s="16" customFormat="1" ht="21" customHeight="1">
      <c r="A34" s="20"/>
      <c r="B34" s="21"/>
      <c r="C34" s="21"/>
      <c r="D34" s="68"/>
      <c r="E34" s="67"/>
      <c r="F34" s="67"/>
      <c r="G34" s="69"/>
      <c r="H34" s="69"/>
      <c r="I34" s="69"/>
      <c r="J34" s="70"/>
      <c r="K34" s="60"/>
      <c r="L34" s="61"/>
      <c r="M34" s="61"/>
      <c r="N34" s="61"/>
      <c r="O34" s="61"/>
      <c r="P34" s="61"/>
      <c r="Q34" s="62"/>
      <c r="R34" s="19"/>
      <c r="S34" s="47"/>
      <c r="T34" s="47"/>
      <c r="U34" s="47"/>
      <c r="V34" s="47"/>
      <c r="W34" s="47"/>
      <c r="X34" s="21"/>
      <c r="Y34" s="21"/>
      <c r="Z34" s="21"/>
    </row>
    <row r="35" spans="1:26" s="16" customFormat="1" ht="21" customHeight="1">
      <c r="A35" s="20"/>
      <c r="B35" s="21"/>
      <c r="C35" s="21"/>
      <c r="D35" s="68"/>
      <c r="E35" s="67"/>
      <c r="F35" s="67"/>
      <c r="G35" s="69"/>
      <c r="H35" s="69"/>
      <c r="I35" s="69"/>
      <c r="J35" s="70"/>
      <c r="K35" s="60"/>
      <c r="L35" s="61"/>
      <c r="M35" s="61"/>
      <c r="N35" s="61"/>
      <c r="O35" s="61"/>
      <c r="P35" s="61"/>
      <c r="Q35" s="62"/>
      <c r="R35" s="19"/>
      <c r="S35" s="47"/>
      <c r="T35" s="47"/>
      <c r="U35" s="47"/>
      <c r="V35" s="47"/>
      <c r="W35" s="47"/>
      <c r="X35" s="21"/>
      <c r="Y35" s="21"/>
      <c r="Z35" s="21"/>
    </row>
    <row r="36" spans="1:26" s="16" customFormat="1" ht="21" customHeight="1">
      <c r="A36" s="20"/>
      <c r="B36" s="21"/>
      <c r="C36" s="21"/>
      <c r="D36" s="68"/>
      <c r="E36" s="67"/>
      <c r="F36" s="67"/>
      <c r="G36" s="69"/>
      <c r="H36" s="69"/>
      <c r="I36" s="69"/>
      <c r="J36" s="70"/>
      <c r="K36" s="60"/>
      <c r="L36" s="61"/>
      <c r="M36" s="61"/>
      <c r="N36" s="61"/>
      <c r="O36" s="61"/>
      <c r="P36" s="61"/>
      <c r="Q36" s="62"/>
      <c r="R36" s="19"/>
      <c r="S36" s="47"/>
      <c r="T36" s="47"/>
      <c r="U36" s="47"/>
      <c r="V36" s="47"/>
      <c r="W36" s="47"/>
      <c r="X36" s="21"/>
      <c r="Y36" s="21"/>
      <c r="Z36" s="21"/>
    </row>
    <row r="37" spans="1:26" s="16" customFormat="1" ht="21" customHeight="1">
      <c r="A37" s="20"/>
      <c r="B37" s="21"/>
      <c r="C37" s="21"/>
      <c r="D37" s="76" t="s">
        <v>79</v>
      </c>
      <c r="E37" s="71"/>
      <c r="F37" s="71"/>
      <c r="G37" s="71"/>
      <c r="H37" s="71"/>
      <c r="I37" s="71"/>
      <c r="J37" s="72"/>
      <c r="K37" s="60"/>
      <c r="L37" s="61"/>
      <c r="M37" s="61"/>
      <c r="N37" s="61"/>
      <c r="O37" s="61"/>
      <c r="P37" s="61"/>
      <c r="Q37" s="62"/>
      <c r="R37" s="19"/>
      <c r="S37" s="47"/>
      <c r="T37" s="47"/>
      <c r="U37" s="47"/>
      <c r="V37" s="47"/>
      <c r="W37" s="47"/>
      <c r="X37" s="21"/>
      <c r="Y37" s="21"/>
      <c r="Z37" s="21"/>
    </row>
    <row r="38" spans="1:26" s="16" customFormat="1" ht="21">
      <c r="A38" s="20"/>
      <c r="B38" s="21"/>
      <c r="C38" s="21"/>
      <c r="D38" s="66" t="s">
        <v>80</v>
      </c>
      <c r="E38" s="69"/>
      <c r="F38" s="69"/>
      <c r="G38" s="69"/>
      <c r="H38" s="69"/>
      <c r="I38" s="69"/>
      <c r="J38" s="70"/>
      <c r="K38" s="60"/>
      <c r="L38" s="61"/>
      <c r="M38" s="61"/>
      <c r="N38" s="61"/>
      <c r="O38" s="61"/>
      <c r="P38" s="61"/>
      <c r="Q38" s="62"/>
      <c r="R38" s="19"/>
      <c r="S38" s="47"/>
      <c r="T38" s="47"/>
      <c r="U38" s="47"/>
      <c r="V38" s="47"/>
      <c r="W38" s="47"/>
      <c r="X38" s="21"/>
      <c r="Y38" s="21"/>
      <c r="Z38" s="21"/>
    </row>
    <row r="39" spans="1:26" s="16" customFormat="1" ht="21">
      <c r="A39" s="20"/>
      <c r="B39" s="21"/>
      <c r="C39" s="21"/>
      <c r="D39" s="66"/>
      <c r="E39" s="69"/>
      <c r="F39" s="69"/>
      <c r="G39" s="69"/>
      <c r="H39" s="69"/>
      <c r="I39" s="69"/>
      <c r="J39" s="70"/>
      <c r="K39" s="60"/>
      <c r="L39" s="61"/>
      <c r="M39" s="61"/>
      <c r="N39" s="61"/>
      <c r="O39" s="61"/>
      <c r="P39" s="61"/>
      <c r="Q39" s="62"/>
      <c r="R39" s="19"/>
      <c r="S39" s="47"/>
      <c r="T39" s="47"/>
      <c r="U39" s="47"/>
      <c r="V39" s="47"/>
      <c r="W39" s="47"/>
      <c r="X39" s="21"/>
      <c r="Y39" s="21"/>
      <c r="Z39" s="21"/>
    </row>
    <row r="40" spans="1:26" ht="15.6" customHeight="1">
      <c r="A40" s="18"/>
      <c r="B40" s="19"/>
      <c r="C40" s="19"/>
      <c r="D40" s="66"/>
      <c r="E40" s="69"/>
      <c r="F40" s="69"/>
      <c r="G40" s="69"/>
      <c r="H40" s="69"/>
      <c r="I40" s="69"/>
      <c r="J40" s="70"/>
      <c r="K40" s="60"/>
      <c r="L40" s="61"/>
      <c r="M40" s="61"/>
      <c r="N40" s="61"/>
      <c r="O40" s="61"/>
      <c r="P40" s="61"/>
      <c r="Q40" s="62"/>
      <c r="R40" s="19"/>
      <c r="S40" s="47"/>
      <c r="T40" s="47"/>
      <c r="U40" s="47"/>
      <c r="V40" s="47"/>
      <c r="W40" s="47"/>
      <c r="X40" s="19"/>
      <c r="Y40" s="19"/>
      <c r="Z40" s="19"/>
    </row>
    <row r="41" spans="1:26" ht="15.6" customHeight="1">
      <c r="A41" s="18"/>
      <c r="B41" s="19"/>
      <c r="C41" s="19"/>
      <c r="D41" s="66"/>
      <c r="E41" s="69"/>
      <c r="F41" s="69"/>
      <c r="G41" s="69"/>
      <c r="H41" s="69"/>
      <c r="I41" s="69"/>
      <c r="J41" s="70"/>
      <c r="K41" s="60"/>
      <c r="L41" s="61"/>
      <c r="M41" s="61"/>
      <c r="N41" s="61"/>
      <c r="O41" s="61"/>
      <c r="P41" s="61"/>
      <c r="Q41" s="62"/>
      <c r="R41" s="19"/>
      <c r="S41" s="47"/>
      <c r="T41" s="47"/>
      <c r="U41" s="47"/>
      <c r="V41" s="47"/>
      <c r="W41" s="47"/>
      <c r="X41" s="19"/>
      <c r="Y41" s="19"/>
      <c r="Z41" s="19"/>
    </row>
    <row r="42" spans="1:26" ht="15.6" customHeight="1">
      <c r="A42" s="18"/>
      <c r="B42" s="19"/>
      <c r="C42" s="19"/>
      <c r="D42" s="73"/>
      <c r="E42" s="74"/>
      <c r="F42" s="74"/>
      <c r="G42" s="74"/>
      <c r="H42" s="74"/>
      <c r="I42" s="74"/>
      <c r="J42" s="75"/>
      <c r="K42" s="63"/>
      <c r="L42" s="64"/>
      <c r="M42" s="64"/>
      <c r="N42" s="64"/>
      <c r="O42" s="64"/>
      <c r="P42" s="64"/>
      <c r="Q42" s="65"/>
      <c r="R42" s="19"/>
      <c r="S42" s="47"/>
      <c r="T42" s="47"/>
      <c r="U42" s="47"/>
      <c r="V42" s="47"/>
      <c r="W42" s="47"/>
      <c r="X42" s="19"/>
      <c r="Y42" s="19"/>
      <c r="Z42" s="19"/>
    </row>
    <row r="43" spans="1:26">
      <c r="A43" s="18"/>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c r="A44" s="18"/>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s="16" customFormat="1" ht="21">
      <c r="A45" s="20"/>
      <c r="B45" s="19"/>
      <c r="C45" s="19"/>
      <c r="D45" s="34" t="s">
        <v>46</v>
      </c>
      <c r="E45" s="34"/>
      <c r="F45" s="34"/>
      <c r="G45" s="34"/>
      <c r="H45" s="34"/>
      <c r="I45" s="34"/>
      <c r="J45" s="34"/>
      <c r="K45" s="21"/>
      <c r="L45" s="113" t="s">
        <v>101</v>
      </c>
      <c r="M45" s="114"/>
      <c r="N45" s="114"/>
      <c r="O45" s="114"/>
      <c r="P45" s="114"/>
      <c r="Q45" s="114"/>
      <c r="R45" s="114"/>
      <c r="S45" s="114"/>
      <c r="T45" s="114"/>
      <c r="U45" s="114"/>
      <c r="V45" s="114"/>
      <c r="W45" s="115"/>
      <c r="X45" s="21"/>
      <c r="Y45" s="21"/>
      <c r="Z45" s="21"/>
    </row>
    <row r="46" spans="1:26" ht="46.95" customHeight="1">
      <c r="A46" s="18"/>
      <c r="B46" s="19"/>
      <c r="C46" s="19"/>
      <c r="D46" s="22"/>
      <c r="E46" s="112" t="s">
        <v>100</v>
      </c>
      <c r="F46" s="110"/>
      <c r="G46" s="110"/>
      <c r="H46" s="110"/>
      <c r="I46" s="110"/>
      <c r="J46" s="111"/>
      <c r="K46" s="21"/>
      <c r="L46" s="116"/>
      <c r="M46" s="117"/>
      <c r="N46" s="117"/>
      <c r="O46" s="117"/>
      <c r="P46" s="117"/>
      <c r="Q46" s="117"/>
      <c r="R46" s="117"/>
      <c r="S46" s="117"/>
      <c r="T46" s="117"/>
      <c r="U46" s="117"/>
      <c r="V46" s="117"/>
      <c r="W46" s="118"/>
      <c r="X46" s="21"/>
      <c r="Y46" s="21"/>
      <c r="Z46" s="21"/>
    </row>
    <row r="47" spans="1:26" ht="46.95" customHeight="1">
      <c r="A47" s="18"/>
      <c r="B47" s="19"/>
      <c r="C47" s="19"/>
      <c r="D47" s="22"/>
      <c r="E47" s="112" t="s">
        <v>99</v>
      </c>
      <c r="F47" s="110"/>
      <c r="G47" s="110"/>
      <c r="H47" s="110"/>
      <c r="I47" s="110"/>
      <c r="J47" s="111"/>
      <c r="K47" s="21"/>
      <c r="L47" s="119"/>
      <c r="M47" s="120"/>
      <c r="N47" s="120"/>
      <c r="O47" s="120"/>
      <c r="P47" s="120"/>
      <c r="Q47" s="120"/>
      <c r="R47" s="120"/>
      <c r="S47" s="120"/>
      <c r="T47" s="120"/>
      <c r="U47" s="120"/>
      <c r="V47" s="120"/>
      <c r="W47" s="121"/>
      <c r="X47" s="21"/>
      <c r="Y47" s="21"/>
      <c r="Z47" s="21"/>
    </row>
    <row r="48" spans="1:26">
      <c r="A48" s="18"/>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1" s="19" customFormat="1">
      <c r="A49" s="18"/>
    </row>
  </sheetData>
  <mergeCells count="25">
    <mergeCell ref="D3:E5"/>
    <mergeCell ref="D6:E7"/>
    <mergeCell ref="F3:G5"/>
    <mergeCell ref="H3:I5"/>
    <mergeCell ref="J3:K5"/>
    <mergeCell ref="F6:G7"/>
    <mergeCell ref="H6:I7"/>
    <mergeCell ref="J6:K7"/>
    <mergeCell ref="D27:F28"/>
    <mergeCell ref="D29:F36"/>
    <mergeCell ref="G27:J28"/>
    <mergeCell ref="G29:J36"/>
    <mergeCell ref="D37:J37"/>
    <mergeCell ref="D38:J42"/>
    <mergeCell ref="S29:W42"/>
    <mergeCell ref="C1:Z1"/>
    <mergeCell ref="E46:J46"/>
    <mergeCell ref="E47:J47"/>
    <mergeCell ref="L45:W47"/>
    <mergeCell ref="D26:J26"/>
    <mergeCell ref="K26:Q26"/>
    <mergeCell ref="K27:Q42"/>
    <mergeCell ref="D9:W9"/>
    <mergeCell ref="D11:Q11"/>
    <mergeCell ref="S11:W11"/>
  </mergeCells>
  <phoneticPr fontId="1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54E2-A3E4-43E2-960B-9D4655150A3A}">
  <dimension ref="A3:A7"/>
  <sheetViews>
    <sheetView workbookViewId="0">
      <selection activeCell="J19" sqref="J19"/>
    </sheetView>
  </sheetViews>
  <sheetFormatPr defaultRowHeight="15.6"/>
  <cols>
    <col min="1" max="1" width="19.796875" bestFit="1" customWidth="1"/>
  </cols>
  <sheetData>
    <row r="3" spans="1:1">
      <c r="A3" s="83" t="s">
        <v>85</v>
      </c>
    </row>
    <row r="4" spans="1:1">
      <c r="A4" s="84">
        <v>125</v>
      </c>
    </row>
    <row r="5" spans="1:1">
      <c r="A5" s="83" t="s">
        <v>86</v>
      </c>
    </row>
    <row r="6" spans="1:1">
      <c r="A6" s="84">
        <v>90</v>
      </c>
    </row>
    <row r="7" spans="1:1">
      <c r="A7" s="83" t="s">
        <v>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5EB3-78FE-4320-8D41-8ED5382A0A2B}">
  <dimension ref="A1:E18"/>
  <sheetViews>
    <sheetView topLeftCell="C7" workbookViewId="0">
      <selection activeCell="D14" sqref="D14:E14"/>
    </sheetView>
  </sheetViews>
  <sheetFormatPr defaultRowHeight="15.6"/>
  <cols>
    <col min="1" max="1" width="14.69921875" bestFit="1" customWidth="1"/>
    <col min="2" max="2" width="21" customWidth="1"/>
    <col min="3" max="3" width="14.8984375" customWidth="1"/>
    <col min="4" max="4" width="14.796875" customWidth="1"/>
    <col min="5" max="5" width="27.09765625" customWidth="1"/>
  </cols>
  <sheetData>
    <row r="1" spans="1:5" ht="31.2">
      <c r="A1" s="56" t="s">
        <v>54</v>
      </c>
      <c r="B1" s="56" t="s">
        <v>55</v>
      </c>
    </row>
    <row r="2" spans="1:5" ht="31.2">
      <c r="A2" s="57" t="s">
        <v>56</v>
      </c>
      <c r="B2" s="57">
        <v>90</v>
      </c>
    </row>
    <row r="3" spans="1:5" ht="31.2">
      <c r="A3" s="57" t="s">
        <v>57</v>
      </c>
      <c r="B3" s="57">
        <v>125</v>
      </c>
    </row>
    <row r="6" spans="1:5" ht="25.8" customHeight="1">
      <c r="A6" s="56" t="s">
        <v>58</v>
      </c>
      <c r="B6" s="56" t="s">
        <v>59</v>
      </c>
      <c r="C6" s="56" t="s">
        <v>60</v>
      </c>
      <c r="D6" s="56" t="s">
        <v>61</v>
      </c>
      <c r="E6" s="56" t="s">
        <v>62</v>
      </c>
    </row>
    <row r="7" spans="1:5" ht="30" customHeight="1">
      <c r="A7" s="57" t="s">
        <v>12</v>
      </c>
      <c r="B7" s="57" t="s">
        <v>63</v>
      </c>
      <c r="C7" s="57" t="s">
        <v>64</v>
      </c>
      <c r="D7" s="57" t="s">
        <v>65</v>
      </c>
      <c r="E7" s="57" t="s">
        <v>66</v>
      </c>
    </row>
    <row r="8" spans="1:5" ht="46.8" customHeight="1">
      <c r="A8" s="57" t="s">
        <v>12</v>
      </c>
      <c r="B8" s="57" t="s">
        <v>67</v>
      </c>
      <c r="C8" s="57" t="s">
        <v>68</v>
      </c>
      <c r="D8" s="57" t="s">
        <v>69</v>
      </c>
      <c r="E8" s="57" t="s">
        <v>70</v>
      </c>
    </row>
    <row r="9" spans="1:5" ht="36" customHeight="1">
      <c r="A9" s="57" t="s">
        <v>71</v>
      </c>
      <c r="B9" s="57" t="s">
        <v>72</v>
      </c>
      <c r="C9" s="57" t="s">
        <v>73</v>
      </c>
      <c r="D9" s="57" t="s">
        <v>65</v>
      </c>
      <c r="E9" s="57" t="s">
        <v>74</v>
      </c>
    </row>
    <row r="13" spans="1:5">
      <c r="C13" s="56" t="s">
        <v>81</v>
      </c>
      <c r="D13" s="56" t="s">
        <v>82</v>
      </c>
      <c r="E13" s="56" t="s">
        <v>83</v>
      </c>
    </row>
    <row r="14" spans="1:5">
      <c r="C14" s="57" t="s">
        <v>84</v>
      </c>
      <c r="D14" s="57" t="s">
        <v>85</v>
      </c>
      <c r="E14" s="57">
        <v>125</v>
      </c>
    </row>
    <row r="15" spans="1:5" ht="31.2">
      <c r="C15" s="57" t="s">
        <v>84</v>
      </c>
      <c r="D15" s="57" t="s">
        <v>86</v>
      </c>
      <c r="E15" s="57">
        <v>90</v>
      </c>
    </row>
    <row r="16" spans="1:5" ht="31.2">
      <c r="C16" s="57" t="s">
        <v>87</v>
      </c>
      <c r="D16" s="57" t="s">
        <v>88</v>
      </c>
      <c r="E16" s="57">
        <v>44</v>
      </c>
    </row>
    <row r="17" spans="3:5" ht="31.2">
      <c r="C17" s="57" t="s">
        <v>87</v>
      </c>
      <c r="D17" s="57" t="s">
        <v>89</v>
      </c>
      <c r="E17" s="57">
        <v>67</v>
      </c>
    </row>
    <row r="18" spans="3:5">
      <c r="C18" s="57" t="s">
        <v>90</v>
      </c>
      <c r="D18" s="57" t="s">
        <v>91</v>
      </c>
      <c r="E18" s="57" t="s">
        <v>38</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Tracker</vt: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Chappell</dc:creator>
  <cp:lastModifiedBy>sahil shah</cp:lastModifiedBy>
  <dcterms:created xsi:type="dcterms:W3CDTF">2024-03-21T19:14:08Z</dcterms:created>
  <dcterms:modified xsi:type="dcterms:W3CDTF">2026-01-19T17:44:45Z</dcterms:modified>
</cp:coreProperties>
</file>